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4811" documentId="8_{E502E80A-6197-45DF-848D-FE7D88E1F39A}" xr6:coauthVersionLast="47" xr6:coauthVersionMax="47" xr10:uidLastSave="{DD56B2D3-4EC6-410E-9D82-CDB2D3D6B199}"/>
  <bookViews>
    <workbookView xWindow="240" yWindow="105" windowWidth="14805" windowHeight="8010" firstSheet="3" activeTab="8" xr2:uid="{00000000-000D-0000-FFFF-FFFF00000000}"/>
  </bookViews>
  <sheets>
    <sheet name="MENU" sheetId="22" r:id="rId1"/>
    <sheet name="BOH MOUND" sheetId="1" state="hidden" r:id="rId2"/>
    <sheet name="BOH L00" sheetId="8" r:id="rId3"/>
    <sheet name="BOH L01" sheetId="9" r:id="rId4"/>
    <sheet name="BOH L02" sheetId="10" r:id="rId5"/>
    <sheet name="BOH L03" sheetId="11" r:id="rId6"/>
    <sheet name="BOH L04" sheetId="12" r:id="rId7"/>
    <sheet name="Guest Room " sheetId="2" r:id="rId8"/>
    <sheet name="ROOM NO &amp; CLUSTERS" sheetId="6" r:id="rId9"/>
    <sheet name="CAFE MAUDE" sheetId="15" r:id="rId10"/>
    <sheet name="5th Floor" sheetId="4" r:id="rId11"/>
    <sheet name="6th Floor" sheetId="7" r:id="rId12"/>
    <sheet name="LEVEL 4, 5 &amp; 6" sheetId="16" r:id="rId13"/>
    <sheet name="EMBERS" sheetId="17" r:id="rId14"/>
    <sheet name="AMALFI POOL" sheetId="18" r:id="rId15"/>
    <sheet name="RECREATION DRIFT POOLBAR &amp; GRIL" sheetId="19" r:id="rId16"/>
    <sheet name="SPA &amp; Fitness" sheetId="13" r:id="rId17"/>
    <sheet name="MICE AREA" sheetId="14" r:id="rId18"/>
    <sheet name="ARRIVAL (RECEPTION)" sheetId="20" r:id="rId19"/>
    <sheet name="FUNICULAR" sheetId="21" r:id="rId20"/>
    <sheet name="Stand Alone Building " sheetId="5" r:id="rId21"/>
    <sheet name="Kitchen and Storage" sheetId="3" r:id="rId22"/>
  </sheets>
  <definedNames>
    <definedName name="_xlnm._FilterDatabase" localSheetId="8" hidden="1">'ROOM NO &amp; CLUSTERS'!$C$4:$D$363</definedName>
    <definedName name="_xlnm._FilterDatabase" localSheetId="7" hidden="1">'Guest Room '!$B$5:$L$89</definedName>
    <definedName name="AMALFIPOOL">'AMALFI POOL'!$A$1</definedName>
    <definedName name="ARRIVAL">'ARRIVAL (RECEPTION)'!$A$1</definedName>
    <definedName name="BOHL02">'BOH L02'!$A$1</definedName>
    <definedName name="BOHL03">'BOH L03'!$A$1</definedName>
    <definedName name="BOHL04">'BOH L04'!$A$1</definedName>
    <definedName name="CAFEMAUDE">'CAFE MAUDE'!$A$1</definedName>
    <definedName name="EMBERS">EMBERS!$A$1</definedName>
    <definedName name="FIFTH">'5th Floor'!$A$1</definedName>
    <definedName name="FUNICULAR">FUNICULAR!$A$1</definedName>
    <definedName name="GUESTROOM">'Guest Room '!$A$1</definedName>
    <definedName name="KITCHEN">'Kitchen and Storage'!$A$2</definedName>
    <definedName name="LEVELS">'LEVEL 4, 5 &amp; 6'!$A$1</definedName>
    <definedName name="MENU">MENU!$E$3</definedName>
    <definedName name="MICEAREA">'MICE AREA'!$A$1</definedName>
    <definedName name="RECREATION">'RECREATION DRIFT POOLBAR &amp; GRIL'!$A$1</definedName>
    <definedName name="ROOMNOCLUSTERS">'ROOM NO &amp; CLUSTERS'!$A$1</definedName>
    <definedName name="SIXTH">'6th Floor'!$A$1</definedName>
    <definedName name="SPAFITNESS">'SPA &amp; Fitness'!$A$1</definedName>
    <definedName name="STANDALONE">'Stand Alone Building 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9" i="9" l="1"/>
  <c r="K389" i="9"/>
  <c r="S74" i="9"/>
  <c r="S73" i="9"/>
  <c r="P74" i="9"/>
  <c r="P73" i="9"/>
  <c r="L20" i="8"/>
  <c r="S18" i="12"/>
  <c r="S17" i="12"/>
  <c r="P18" i="12"/>
  <c r="P17" i="12"/>
  <c r="S16" i="12"/>
  <c r="P16" i="12"/>
  <c r="S13" i="11"/>
  <c r="S12" i="11"/>
  <c r="P13" i="11"/>
  <c r="P12" i="11"/>
  <c r="S11" i="11"/>
  <c r="P11" i="11"/>
  <c r="S11" i="10"/>
  <c r="S10" i="10"/>
  <c r="S9" i="10"/>
  <c r="P11" i="10"/>
  <c r="P10" i="10"/>
  <c r="P9" i="10"/>
  <c r="L83" i="8"/>
  <c r="I413" i="22"/>
  <c r="I412" i="22"/>
  <c r="I411" i="22" s="1"/>
  <c r="I407" i="22"/>
  <c r="I406" i="22"/>
  <c r="I405" i="22"/>
  <c r="S56" i="8"/>
  <c r="E416" i="22" s="1"/>
  <c r="S55" i="8"/>
  <c r="E415" i="22" s="1"/>
  <c r="E414" i="22" s="1"/>
  <c r="F22" i="22"/>
  <c r="E22" i="22"/>
  <c r="D22" i="22"/>
  <c r="O141" i="5"/>
  <c r="N141" i="5"/>
  <c r="M141" i="5"/>
  <c r="F19" i="22"/>
  <c r="E19" i="22"/>
  <c r="D19" i="22"/>
  <c r="F18" i="22"/>
  <c r="E18" i="22"/>
  <c r="D18" i="22"/>
  <c r="F13" i="22"/>
  <c r="E13" i="22"/>
  <c r="D13" i="22"/>
  <c r="F12" i="22"/>
  <c r="E12" i="22"/>
  <c r="D12" i="22"/>
  <c r="F11" i="22"/>
  <c r="E11" i="22"/>
  <c r="D11" i="22"/>
  <c r="F14" i="22"/>
  <c r="E14" i="22"/>
  <c r="D14" i="22"/>
  <c r="O34" i="14"/>
  <c r="N34" i="14"/>
  <c r="M34" i="14"/>
  <c r="O88" i="13"/>
  <c r="N88" i="13"/>
  <c r="M88" i="13"/>
  <c r="O19" i="15"/>
  <c r="N19" i="15"/>
  <c r="O22" i="16"/>
  <c r="N22" i="16"/>
  <c r="M22" i="16"/>
  <c r="N28" i="7"/>
  <c r="M28" i="7"/>
  <c r="L28" i="7"/>
  <c r="N71" i="4"/>
  <c r="M71" i="4"/>
  <c r="L71" i="4"/>
  <c r="L90" i="2"/>
  <c r="F23" i="22" s="1"/>
  <c r="M19" i="15"/>
  <c r="J90" i="2"/>
  <c r="D23" i="22" s="1"/>
  <c r="M55" i="12"/>
  <c r="F10" i="22" s="1"/>
  <c r="L55" i="12"/>
  <c r="E10" i="22" s="1"/>
  <c r="K55" i="12"/>
  <c r="D10" i="22" s="1"/>
  <c r="M45" i="11"/>
  <c r="F9" i="22" s="1"/>
  <c r="L45" i="11"/>
  <c r="E9" i="22" s="1"/>
  <c r="K45" i="11"/>
  <c r="D9" i="22" s="1"/>
  <c r="K46" i="10"/>
  <c r="D8" i="22" s="1"/>
  <c r="M46" i="10"/>
  <c r="F8" i="22" s="1"/>
  <c r="L46" i="10"/>
  <c r="E8" i="22" s="1"/>
  <c r="F7" i="22"/>
  <c r="D7" i="22"/>
  <c r="M95" i="8"/>
  <c r="F6" i="22" s="1"/>
  <c r="K95" i="8"/>
  <c r="D6" i="22" s="1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40" i="9"/>
  <c r="L338" i="9"/>
  <c r="L339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8" i="9"/>
  <c r="L9" i="9"/>
  <c r="L10" i="9"/>
  <c r="P56" i="8"/>
  <c r="E409" i="22" s="1"/>
  <c r="P55" i="8"/>
  <c r="E408" i="22" s="1"/>
  <c r="E407" i="22" s="1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4" i="8"/>
  <c r="L85" i="8"/>
  <c r="L86" i="8"/>
  <c r="L87" i="8"/>
  <c r="L88" i="8"/>
  <c r="L89" i="8"/>
  <c r="L90" i="8"/>
  <c r="L91" i="8"/>
  <c r="L92" i="8"/>
  <c r="L93" i="8"/>
  <c r="L94" i="8"/>
  <c r="L18" i="8"/>
  <c r="L19" i="8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10" i="1"/>
  <c r="L11" i="1"/>
  <c r="L12" i="1"/>
  <c r="L13" i="1"/>
  <c r="L14" i="1"/>
  <c r="L15" i="1"/>
  <c r="L16" i="1"/>
  <c r="L7" i="1"/>
  <c r="L8" i="1"/>
  <c r="L592" i="1"/>
  <c r="M592" i="1"/>
  <c r="K592" i="1"/>
  <c r="S72" i="9"/>
  <c r="P72" i="9"/>
  <c r="S54" i="8"/>
  <c r="P54" i="8"/>
  <c r="J6" i="6"/>
  <c r="J7" i="6"/>
  <c r="K51" i="2"/>
  <c r="L9" i="1"/>
  <c r="R8" i="2"/>
  <c r="R7" i="2"/>
  <c r="P8" i="2"/>
  <c r="P7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Q92" i="1"/>
  <c r="Q91" i="1"/>
  <c r="O88" i="1"/>
  <c r="O87" i="1"/>
  <c r="Q11" i="1"/>
  <c r="Q10" i="1"/>
  <c r="O10" i="1"/>
  <c r="O9" i="1"/>
  <c r="O8" i="1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" i="2"/>
  <c r="L95" i="8" l="1"/>
  <c r="E6" i="22" s="1"/>
  <c r="K90" i="2"/>
  <c r="E23" i="22" s="1"/>
  <c r="L389" i="9"/>
  <c r="E7" i="22" s="1"/>
  <c r="J5" i="6"/>
  <c r="R6" i="2"/>
  <c r="P6" i="2"/>
  <c r="Q90" i="1"/>
  <c r="O86" i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tc={918B065F-DBDA-45B3-9580-D0AD0B3722EF}</author>
  </authors>
  <commentList>
    <comment ref="D293" authorId="0" shapeId="0" xr:uid="{918B065F-DBDA-45B3-9580-D0AD0B3722EF}">
      <text>
        <t>[Threaded comment]
Your version of Excel allows you to read this threaded comment; however, any edits to it will get removed if the file is opened in a newer version of Excel. Learn more: https://go.microsoft.com/fwlink/?linkid=870924
Comment:
    01-271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tc={F1EF349F-3EB8-4377-B49E-C9F5E7EAEACC}</author>
  </authors>
  <commentList>
    <comment ref="G347" authorId="0" shapeId="0" xr:uid="{F1EF349F-3EB8-4377-B49E-C9F5E7EAEACC}">
      <text>
        <t>[Threaded comment]
Your version of Excel allows you to read this threaded comment; however, any edits to it will get removed if the file is opened in a newer version of Excel. Learn more: https://go.microsoft.com/fwlink/?linkid=870924
Comment:
    ABDELELAH</t>
      </text>
    </comment>
  </commentList>
</comments>
</file>

<file path=xl/sharedStrings.xml><?xml version="1.0" encoding="utf-8"?>
<sst xmlns="http://schemas.openxmlformats.org/spreadsheetml/2006/main" count="4789" uniqueCount="1375">
  <si>
    <t>TABLE  OF  CONTENT</t>
  </si>
  <si>
    <t>Zone</t>
  </si>
  <si>
    <t xml:space="preserve">Total Snag Raised </t>
  </si>
  <si>
    <t>Total Snag Open</t>
  </si>
  <si>
    <t xml:space="preserve">Total Snag Closed </t>
  </si>
  <si>
    <t>BOH L00</t>
  </si>
  <si>
    <t>BOH L01</t>
  </si>
  <si>
    <t>BOH L02</t>
  </si>
  <si>
    <t>BOH L03</t>
  </si>
  <si>
    <t>BOH L04</t>
  </si>
  <si>
    <t>5th Floor</t>
  </si>
  <si>
    <t>6th Floor</t>
  </si>
  <si>
    <t>LEVEL 4, 5 &amp; 6</t>
  </si>
  <si>
    <t>CAFE MAUDE</t>
  </si>
  <si>
    <t>EMBERS</t>
  </si>
  <si>
    <t>AMALFI POOL</t>
  </si>
  <si>
    <t>RECREATION DRIFT POOLBAR &amp; GRILL</t>
  </si>
  <si>
    <t>SPA &amp; Fitness</t>
  </si>
  <si>
    <t>MICE AREA</t>
  </si>
  <si>
    <t>ARRIVAL (RECEPTION)</t>
  </si>
  <si>
    <t>FUNICULAR</t>
  </si>
  <si>
    <t xml:space="preserve">Stand Alone Building </t>
  </si>
  <si>
    <t xml:space="preserve">Guest Room </t>
  </si>
  <si>
    <t>ROOM NO &amp; CLUSTERS</t>
  </si>
  <si>
    <t>Kitchen and Storage</t>
  </si>
  <si>
    <t>Stage 1a Completion of Operator Inspection (Pre FFE)</t>
  </si>
  <si>
    <t>TOTAL</t>
  </si>
  <si>
    <t>completed</t>
  </si>
  <si>
    <t>pending</t>
  </si>
  <si>
    <t>Stage 1b Completion of De-Snagging and close out operator Comments/Deep Cleaning</t>
  </si>
  <si>
    <t>MENU</t>
  </si>
  <si>
    <t>SNAGGED DATE</t>
  </si>
  <si>
    <t>SNAGGED BY</t>
  </si>
  <si>
    <t>ROOM NO.</t>
  </si>
  <si>
    <t>ROOM NAME</t>
  </si>
  <si>
    <t xml:space="preserve">Completion of FF&amp;E installation </t>
  </si>
  <si>
    <t>Stage 2a Completion of Operator Inspection (Post FFE)</t>
  </si>
  <si>
    <t xml:space="preserve">Stage 2b Completion of De-Snagging /Sparkle Cleaning and handover </t>
  </si>
  <si>
    <t>list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</si>
  <si>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</si>
  <si>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</si>
  <si>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</si>
  <si>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</si>
  <si>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</si>
  <si>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</si>
  <si>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</si>
  <si>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</si>
  <si>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</si>
  <si>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</si>
  <si>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00-001</t>
  </si>
  <si>
    <t>CART PARKING AREA</t>
  </si>
  <si>
    <t>Arvind</t>
  </si>
  <si>
    <t>00-001a</t>
  </si>
  <si>
    <t>Thayalaraj</t>
  </si>
  <si>
    <t>00-002</t>
  </si>
  <si>
    <t>CLEAN LINEN &amp; HOUSEKEEPING STORAGE</t>
  </si>
  <si>
    <t>Abdulrahman</t>
  </si>
  <si>
    <t>00-003</t>
  </si>
  <si>
    <t>MAIN CIRCULATION</t>
  </si>
  <si>
    <t>Naseer</t>
  </si>
  <si>
    <t>00-004</t>
  </si>
  <si>
    <t>HOUSEKEEPING &amp; SERVICE PANTRY</t>
  </si>
  <si>
    <t>M.Adel</t>
  </si>
  <si>
    <t>Hafil</t>
  </si>
  <si>
    <t>00-005</t>
  </si>
  <si>
    <t>SERVICE CORRIDOR</t>
  </si>
  <si>
    <t>Tarik</t>
  </si>
  <si>
    <t>00-006</t>
  </si>
  <si>
    <t>WASTE HOLDING</t>
  </si>
  <si>
    <t>Akram</t>
  </si>
  <si>
    <t>00-007</t>
  </si>
  <si>
    <t>W.C.</t>
  </si>
  <si>
    <t>Prasanna</t>
  </si>
  <si>
    <t>00-008</t>
  </si>
  <si>
    <t>DIRTY LINEN HOLDING</t>
  </si>
  <si>
    <t>Suresh</t>
  </si>
  <si>
    <t>00-009</t>
  </si>
  <si>
    <t>BUTLER REST AREA</t>
  </si>
  <si>
    <t>Mosab</t>
  </si>
  <si>
    <t>00-010</t>
  </si>
  <si>
    <t>HOTEL CIRCULATION</t>
  </si>
  <si>
    <t>Nawaf</t>
  </si>
  <si>
    <t>00-011</t>
  </si>
  <si>
    <t>GUEST LIFT LOBBY</t>
  </si>
  <si>
    <t>00-012</t>
  </si>
  <si>
    <t>Ibrar</t>
  </si>
  <si>
    <t>00-013</t>
  </si>
  <si>
    <t>GUEST STAIR - 03</t>
  </si>
  <si>
    <t>Brigitta</t>
  </si>
  <si>
    <t>00-014</t>
  </si>
  <si>
    <t>CR ROOM</t>
  </si>
  <si>
    <t>Ahmed Abdelghany</t>
  </si>
  <si>
    <t>00-015</t>
  </si>
  <si>
    <t>ELECTRICAL ROOM</t>
  </si>
  <si>
    <t>Simon Gonsalves</t>
  </si>
  <si>
    <t>00-016</t>
  </si>
  <si>
    <t>Alvear Felipe</t>
  </si>
  <si>
    <t>00-017</t>
  </si>
  <si>
    <t>SERVICE LIFT LOBBY</t>
  </si>
  <si>
    <t>00-019</t>
  </si>
  <si>
    <t>SERVICE STAIR - 01</t>
  </si>
  <si>
    <t>00-020</t>
  </si>
  <si>
    <t>00-021</t>
  </si>
  <si>
    <t>00-023</t>
  </si>
  <si>
    <t>00-024</t>
  </si>
  <si>
    <t>00-025</t>
  </si>
  <si>
    <t>00-027</t>
  </si>
  <si>
    <t>HAFIL</t>
  </si>
  <si>
    <t>00-028</t>
  </si>
  <si>
    <t>00-029</t>
  </si>
  <si>
    <t>00-030</t>
  </si>
  <si>
    <t>00-031</t>
  </si>
  <si>
    <t>00-032</t>
  </si>
  <si>
    <t>Waste holding</t>
  </si>
  <si>
    <t>00-033</t>
  </si>
  <si>
    <t>00-034</t>
  </si>
  <si>
    <t>00-035</t>
  </si>
  <si>
    <t>00-036</t>
  </si>
  <si>
    <t>00-037</t>
  </si>
  <si>
    <t>00-038</t>
  </si>
  <si>
    <t>00-039</t>
  </si>
  <si>
    <t>GUEST STAIR - 04</t>
  </si>
  <si>
    <t>00-040</t>
  </si>
  <si>
    <t>00-041</t>
  </si>
  <si>
    <t>SERVICE STAIR - 02</t>
  </si>
  <si>
    <t>00-042</t>
  </si>
  <si>
    <t>00-043</t>
  </si>
  <si>
    <t>00-044</t>
  </si>
  <si>
    <t>00-045</t>
  </si>
  <si>
    <t>GREASE TANK</t>
  </si>
  <si>
    <t>00-046</t>
  </si>
  <si>
    <t>00-046A</t>
  </si>
  <si>
    <t>00-047(192)</t>
  </si>
  <si>
    <t>LANDSCAPE STORE</t>
  </si>
  <si>
    <t>00-048(193)</t>
  </si>
  <si>
    <t>POOL FURNITURE STORE</t>
  </si>
  <si>
    <t>00-047(194)</t>
  </si>
  <si>
    <t>POOL MAINT STORE</t>
  </si>
  <si>
    <t>00-050</t>
  </si>
  <si>
    <t>HOUSE KEEPING &amp; SERVICE PANTERY</t>
  </si>
  <si>
    <t>00-051</t>
  </si>
  <si>
    <t>CLEAN LINEN &amp; HOUSEKEEPING
STORAGE</t>
  </si>
  <si>
    <t>00-052</t>
  </si>
  <si>
    <t>00-053</t>
  </si>
  <si>
    <t>00-056</t>
  </si>
  <si>
    <t>00-057</t>
  </si>
  <si>
    <t>00-058</t>
  </si>
  <si>
    <t>00-059 (295)</t>
  </si>
  <si>
    <t>00-060</t>
  </si>
  <si>
    <t>00-061</t>
  </si>
  <si>
    <t>00-062</t>
  </si>
  <si>
    <t>00-063</t>
  </si>
  <si>
    <t>GUEST STAIR - 05</t>
  </si>
  <si>
    <t>00-064</t>
  </si>
  <si>
    <t>HVAC SHAFT</t>
  </si>
  <si>
    <t>00-065</t>
  </si>
  <si>
    <t>00-066</t>
  </si>
  <si>
    <t>SERVICE STAIR - 03</t>
  </si>
  <si>
    <t>00-067</t>
  </si>
  <si>
    <t>00-068</t>
  </si>
  <si>
    <t>00-069</t>
  </si>
  <si>
    <t>00-070</t>
  </si>
  <si>
    <t>00-071</t>
  </si>
  <si>
    <t>00-072</t>
  </si>
  <si>
    <t>00-073</t>
  </si>
  <si>
    <t>ELV SHAFT</t>
  </si>
  <si>
    <t>00-074</t>
  </si>
  <si>
    <t>FIRE &amp; PHE SHAFT</t>
  </si>
  <si>
    <t>00-075</t>
  </si>
  <si>
    <t>GEN. FLUE GAS SHAFT</t>
  </si>
  <si>
    <t>00-076</t>
  </si>
  <si>
    <t>LPG SHAFT</t>
  </si>
  <si>
    <t>00-077</t>
  </si>
  <si>
    <t>LV SHAFT</t>
  </si>
  <si>
    <t>00-078</t>
  </si>
  <si>
    <t>PRESSURIZATION SHAFT</t>
  </si>
  <si>
    <t>00-080</t>
  </si>
  <si>
    <t>CHERRY PICKER PARKING</t>
  </si>
  <si>
    <t>01-211</t>
  </si>
  <si>
    <t>SCREENING EQUIPMENT ROOM</t>
  </si>
  <si>
    <t>01-?</t>
  </si>
  <si>
    <t>RAMP AREA</t>
  </si>
  <si>
    <t>01-000</t>
  </si>
  <si>
    <r>
      <t>FUNICULAR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DROP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VILLAGE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SQUARE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LEVEL</t>
    </r>
  </si>
  <si>
    <t>01-001</t>
  </si>
  <si>
    <t>ETS</t>
  </si>
  <si>
    <t>01-002</t>
  </si>
  <si>
    <t>FERTILIZER BINS</t>
  </si>
  <si>
    <t>01-004</t>
  </si>
  <si>
    <t>SUMP PIT &amp; PUMP ROOM</t>
  </si>
  <si>
    <t>01-005</t>
  </si>
  <si>
    <t>LANDSCAPE MAINTENANCE</t>
  </si>
  <si>
    <t>01-006</t>
  </si>
  <si>
    <t>MAINTENANCE YARD</t>
  </si>
  <si>
    <t>01-008</t>
  </si>
  <si>
    <t>01-009</t>
  </si>
  <si>
    <t>INTERFACE ROOM</t>
  </si>
  <si>
    <t>01-010</t>
  </si>
  <si>
    <t>WORKSHOP</t>
  </si>
  <si>
    <t>01-013</t>
  </si>
  <si>
    <t>CHIEF ENGINEER OFFICE</t>
  </si>
  <si>
    <t>01-014</t>
  </si>
  <si>
    <r>
      <t>ENGINEERING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COORDINATOR</t>
    </r>
  </si>
  <si>
    <t>01-14a</t>
  </si>
  <si>
    <r>
      <t>DETERGENT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</si>
  <si>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01-014a</t>
  </si>
  <si>
    <r>
      <t>ASSISTANT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CHIEF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ENGINEER</t>
    </r>
  </si>
  <si>
    <t>01-014b</t>
  </si>
  <si>
    <r>
      <t>ADMINISTRATIVE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ASSISTANT</t>
    </r>
  </si>
  <si>
    <t>01-015</t>
  </si>
  <si>
    <t>PLAN ROOM &amp; DRAWING BOARD</t>
  </si>
  <si>
    <t>01-016</t>
  </si>
  <si>
    <t>MAIN COMMS. ROOM</t>
  </si>
  <si>
    <t>UPHOLSTERY SHOP &amp; FABRIC STO.</t>
  </si>
  <si>
    <t>01-018</t>
  </si>
  <si>
    <t>TOILET</t>
  </si>
  <si>
    <t>01-019</t>
  </si>
  <si>
    <t>SECURE PARTS STO.</t>
  </si>
  <si>
    <t>01-020</t>
  </si>
  <si>
    <t>PAINT SHOP &amp; STORE</t>
  </si>
  <si>
    <t>01-021</t>
  </si>
  <si>
    <t>CARPENTRY SHOP</t>
  </si>
  <si>
    <t>01-022</t>
  </si>
  <si>
    <t>RD &amp; E 2</t>
  </si>
  <si>
    <t>01-023</t>
  </si>
  <si>
    <t>RMU ROOM</t>
  </si>
  <si>
    <t>Naser</t>
  </si>
  <si>
    <t>01-024</t>
  </si>
  <si>
    <t>01-026</t>
  </si>
  <si>
    <t>TRANSFORMER ROOMS</t>
  </si>
  <si>
    <t>01-027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</si>
  <si>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CORRIDOR</t>
    </r>
  </si>
  <si>
    <t>01-028</t>
  </si>
  <si>
    <t>LV PANEL ROOM</t>
  </si>
  <si>
    <t>GENERATOR ROOM</t>
  </si>
  <si>
    <t>01-030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</si>
  <si>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</t>
    </r>
  </si>
  <si>
    <t>01-031</t>
  </si>
  <si>
    <r>
      <t>GUEST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</si>
  <si>
    <t>01-032</t>
  </si>
  <si>
    <r>
      <t>HVAC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</si>
  <si>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01-033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</si>
  <si>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</t>
    </r>
  </si>
  <si>
    <t>01-034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</si>
  <si>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(CHARCOAL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</si>
  <si>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01-035</t>
  </si>
  <si>
    <r>
      <t>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</si>
  <si>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01-036</t>
  </si>
  <si>
    <r>
      <t>ELECTRICAL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</si>
  <si>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01-037</t>
  </si>
  <si>
    <t>01-038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</si>
  <si>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</si>
  <si>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01-039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</si>
  <si>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</si>
  <si>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01-040</t>
  </si>
  <si>
    <r>
      <t>IRRIGATION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</si>
  <si>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01-041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</si>
  <si>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</si>
  <si>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01-042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</si>
  <si>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</si>
  <si>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01-043</t>
  </si>
  <si>
    <r>
      <t>POTABLE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</si>
  <si>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01-044</t>
  </si>
  <si>
    <r>
      <t>GSM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</si>
  <si>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01-045</t>
  </si>
  <si>
    <r>
      <t>INCOMING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</si>
  <si>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01-046</t>
  </si>
  <si>
    <t>Nasser</t>
  </si>
  <si>
    <t>01-047</t>
  </si>
  <si>
    <t>01-048</t>
  </si>
  <si>
    <r>
      <t>ADA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</si>
  <si>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01-049</t>
  </si>
  <si>
    <t>CIRCULATION</t>
  </si>
  <si>
    <t>01-050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</si>
  <si>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CCTV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MONITORS</t>
    </r>
  </si>
  <si>
    <t>Surish</t>
  </si>
  <si>
    <t>01-051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</si>
  <si>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+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ASSISTANT</t>
    </r>
  </si>
  <si>
    <t>01-052</t>
  </si>
  <si>
    <r>
      <t>MCR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</si>
  <si>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01-052a</t>
  </si>
  <si>
    <r>
      <t>MCR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ICT</t>
    </r>
  </si>
  <si>
    <t>01-053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</si>
  <si>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</si>
  <si>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01-054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</si>
  <si>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DIRECTOR</t>
    </r>
  </si>
  <si>
    <t>01-055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</si>
  <si>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WORKSTATION</t>
    </r>
  </si>
  <si>
    <t>01-056</t>
  </si>
  <si>
    <t>01-057</t>
  </si>
  <si>
    <r>
      <t>IBMS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</si>
  <si>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01-058</t>
  </si>
  <si>
    <r>
      <t>DIRECTOR'S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</si>
  <si>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01-059</t>
  </si>
  <si>
    <r>
      <t>ELECTRCAL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UPS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</si>
  <si>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01-060</t>
  </si>
  <si>
    <r>
      <t>SOILED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</si>
  <si>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01-060a</t>
  </si>
  <si>
    <r>
      <t>SORTING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WEIGH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</si>
  <si>
    <t>01-061</t>
  </si>
  <si>
    <r>
      <rPr>
        <sz val="11"/>
        <color rgb="FF000000"/>
        <rFont val="Calibri"/>
        <scheme val="minor"/>
      </rPr>
      <t>GUEST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LAUNDRY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-</t>
    </r>
    <r>
      <rPr>
        <sz val="9.5"/>
        <color rgb="FF000000"/>
        <rFont val="Times New Roman"/>
      </rPr>
      <t xml:space="preserve"> 
</t>
    </r>
    <r>
      <rPr>
        <sz val="9.5"/>
        <color rgb="FF000000"/>
        <rFont val="Arial"/>
      </rPr>
      <t>WASHER/DRYER,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WORK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 xml:space="preserve">TABLE
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,SHIRT/PANT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PRESS</t>
    </r>
  </si>
  <si>
    <t>01-062</t>
  </si>
  <si>
    <r>
      <t>CHEMICAL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</si>
  <si>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01-063</t>
  </si>
  <si>
    <r>
      <t>BULK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(CARTS)</t>
    </r>
  </si>
  <si>
    <t>01-063a</t>
  </si>
  <si>
    <r>
      <t>CLEAN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</si>
  <si>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01-064</t>
  </si>
  <si>
    <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</t>
    </r>
  </si>
  <si>
    <t>01-065</t>
  </si>
  <si>
    <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</si>
  <si>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01-066</t>
  </si>
  <si>
    <r>
      <t>DISPATCH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ASSEMBLY</t>
    </r>
  </si>
  <si>
    <t>01-067</t>
  </si>
  <si>
    <r>
      <t>COMPRESSOR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</si>
  <si>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01-068</t>
  </si>
  <si>
    <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AMENITIES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</si>
  <si>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01-069</t>
  </si>
  <si>
    <r>
      <t>NIGHT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CLEANERS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</si>
  <si>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01-070</t>
  </si>
  <si>
    <r>
      <t>CLEANING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MACHINE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</si>
  <si>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01-071</t>
  </si>
  <si>
    <r>
      <t>NEW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TEXTILES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</si>
  <si>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</si>
  <si>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DEAD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</si>
  <si>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F&amp;B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TEXTILE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</si>
  <si>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r>
      <t>STATIONERY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PAPER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GOODS</t>
    </r>
  </si>
  <si>
    <t>01-072</t>
  </si>
  <si>
    <r>
      <t>LOST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FOUND</t>
    </r>
  </si>
  <si>
    <t>01-073</t>
  </si>
  <si>
    <r>
      <t>BRIEFING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</si>
  <si>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01-073a</t>
  </si>
  <si>
    <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STATIONS</t>
    </r>
  </si>
  <si>
    <t>01-073b</t>
  </si>
  <si>
    <r>
      <t>EXECUTIVE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HOUSEKEEPER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</si>
  <si>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01-074</t>
  </si>
  <si>
    <t>01-075</t>
  </si>
  <si>
    <r>
      <t>FITTING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STALL</t>
    </r>
  </si>
  <si>
    <t>01-076</t>
  </si>
  <si>
    <r>
      <t>BACKUP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UNIFORM</t>
    </r>
    <r>
      <rPr>
        <sz val="9.5"/>
        <color rgb="FF000000"/>
        <rFont val="Times New Roman"/>
        <family val="1"/>
      </rPr>
      <t xml:space="preserve"> 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ISSUE</t>
    </r>
  </si>
  <si>
    <t>01-076a</t>
  </si>
  <si>
    <t>SEAMSTRESS</t>
  </si>
  <si>
    <t>01-077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</si>
  <si>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CUE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</si>
  <si>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01-078</t>
  </si>
  <si>
    <t>01-079</t>
  </si>
  <si>
    <r>
      <t>RECEIVING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</si>
  <si>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01-079a</t>
  </si>
  <si>
    <r>
      <t>PURCHASING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</si>
  <si>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01-080</t>
  </si>
  <si>
    <r>
      <t>SECURE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</si>
  <si>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01-081</t>
  </si>
  <si>
    <r>
      <t>DRIVER'S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</si>
  <si>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01-082</t>
  </si>
  <si>
    <r>
      <t>SECURITY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</si>
  <si>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01-083</t>
  </si>
  <si>
    <r>
      <t>STAFF/VISITOR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REGISTRATION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COUNTER/TIME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CLOCK/ID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CHECK</t>
    </r>
  </si>
  <si>
    <t>01-084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</si>
  <si>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DOCK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COVERED(2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SCISSOR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LIFTS)</t>
    </r>
  </si>
  <si>
    <t>01-085</t>
  </si>
  <si>
    <r>
      <t>CART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PARKING/CHARGING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(COVERED)</t>
    </r>
  </si>
  <si>
    <t>01-085a</t>
  </si>
  <si>
    <t>01-086</t>
  </si>
  <si>
    <t>01-087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</si>
  <si>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UNLOADING
DOCK</t>
    </r>
  </si>
  <si>
    <t>01-088</t>
  </si>
  <si>
    <t>01-089</t>
  </si>
  <si>
    <t>01-091</t>
  </si>
  <si>
    <t>01-092</t>
  </si>
  <si>
    <t>01-092a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</si>
  <si>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</si>
  <si>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01-092b</t>
  </si>
  <si>
    <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CONTAINMENT</t>
    </r>
  </si>
  <si>
    <t>01-092c</t>
  </si>
  <si>
    <r>
      <t>RECYCLING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</si>
  <si>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01-092d</t>
  </si>
  <si>
    <r>
      <t>CAN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</si>
  <si>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01-092e</t>
  </si>
  <si>
    <r>
      <t>GLASS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</si>
  <si>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01-092f</t>
  </si>
  <si>
    <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COMPACTOR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</si>
  <si>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01-093</t>
  </si>
  <si>
    <t>01-094</t>
  </si>
  <si>
    <r>
      <t>AV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CONTROL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</si>
  <si>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01-095</t>
  </si>
  <si>
    <r>
      <t>AV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EQUIPMENT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</si>
  <si>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01-096</t>
  </si>
  <si>
    <t>01-097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</si>
  <si>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LIFT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</si>
  <si>
    <t>01-099</t>
  </si>
  <si>
    <r>
      <t>MEETING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JR.BALLROOM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KITCHEN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PANTRY</t>
    </r>
  </si>
  <si>
    <t>01-100</t>
  </si>
  <si>
    <t>01-101</t>
  </si>
  <si>
    <r>
      <t>JR.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BALLROOM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</si>
  <si>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01-102</t>
  </si>
  <si>
    <t>01-103</t>
  </si>
  <si>
    <t>01-104</t>
  </si>
  <si>
    <t>01-105</t>
  </si>
  <si>
    <t>01-106</t>
  </si>
  <si>
    <t>HOUSEKEEPING</t>
  </si>
  <si>
    <t>01-107</t>
  </si>
  <si>
    <t>01-108</t>
  </si>
  <si>
    <t>01-109</t>
  </si>
  <si>
    <t>01-110</t>
  </si>
  <si>
    <t>01-111</t>
  </si>
  <si>
    <t>01-112</t>
  </si>
  <si>
    <t>01-113</t>
  </si>
  <si>
    <t>01-114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</si>
  <si>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KITCHEN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AHU</t>
    </r>
  </si>
  <si>
    <t>01-115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</si>
  <si>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(2x65=130)+(3x11=33)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=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163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LOCKERS)</t>
    </r>
  </si>
  <si>
    <t>01-115a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</si>
  <si>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1-4</t>
    </r>
  </si>
  <si>
    <t>01-116</t>
  </si>
  <si>
    <r>
      <t>TOILETS,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LAVATORIES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AND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SHOWERS</t>
    </r>
  </si>
  <si>
    <t>01-116a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</si>
  <si>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1-7</t>
    </r>
  </si>
  <si>
    <t>01-116b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</si>
  <si>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1-7</t>
    </r>
  </si>
  <si>
    <t>01-117</t>
  </si>
  <si>
    <t>01-118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</si>
  <si>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ADA</t>
    </r>
  </si>
  <si>
    <t>01-119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</si>
  <si>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(2x227=454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LOCKERS)</t>
    </r>
  </si>
  <si>
    <t>01-120</t>
  </si>
  <si>
    <t>JANITOR</t>
  </si>
  <si>
    <t>01-121</t>
  </si>
  <si>
    <t>01-122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</si>
  <si>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PRAYER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</si>
  <si>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01-123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</si>
  <si>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RACK</t>
    </r>
  </si>
  <si>
    <t>01-124</t>
  </si>
  <si>
    <r>
      <t>WOMEN'S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ABLUTION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</si>
  <si>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01-125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</si>
  <si>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6-7</t>
    </r>
  </si>
  <si>
    <t>01-126</t>
  </si>
  <si>
    <r>
      <t>CH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1-5</t>
    </r>
  </si>
  <si>
    <t>01-127</t>
  </si>
  <si>
    <t>01-127a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</si>
  <si>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1-6</t>
    </r>
  </si>
  <si>
    <t>01-127b</t>
  </si>
  <si>
    <r>
      <t>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7-12</t>
    </r>
  </si>
  <si>
    <t>01-127c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</si>
  <si>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1-6</t>
    </r>
  </si>
  <si>
    <t>01-127d</t>
  </si>
  <si>
    <r>
      <t>W.C.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7-10</t>
    </r>
  </si>
  <si>
    <t>01-128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</si>
  <si>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ADA</t>
    </r>
  </si>
  <si>
    <t>01-129</t>
  </si>
  <si>
    <t>01-130</t>
  </si>
  <si>
    <t>01-131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</si>
  <si>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LOBBY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SHOE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RACK</t>
    </r>
  </si>
  <si>
    <t>01-132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</si>
  <si>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ABLUTION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</si>
  <si>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01-133</t>
  </si>
  <si>
    <r>
      <t>MEN'S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PRAYER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</si>
  <si>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01-134</t>
  </si>
  <si>
    <r>
      <t>MEDICAL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FIRST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AID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FACILITY</t>
    </r>
  </si>
  <si>
    <t>01-135</t>
  </si>
  <si>
    <r>
      <t>COMMUNICATION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</si>
  <si>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01-136</t>
  </si>
  <si>
    <t>01-137</t>
  </si>
  <si>
    <t>CIRCULATION (INSIDE STAFF DINING)</t>
  </si>
  <si>
    <t>01-138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</si>
  <si>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(SEATS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-128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NOS)</t>
    </r>
  </si>
  <si>
    <t>01-139</t>
  </si>
  <si>
    <r>
      <t>INTERNET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DESKS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</si>
  <si>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01-140</t>
  </si>
  <si>
    <r>
      <t>SERVING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</si>
  <si>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01-141</t>
  </si>
  <si>
    <r>
      <t>STAFF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LOUNGE</t>
    </r>
  </si>
  <si>
    <t>01-142</t>
  </si>
  <si>
    <t>ELECTRICS WORKSHOP / STORE (NEAR ENGINEERING ROOMS AT M1)</t>
  </si>
  <si>
    <t>01-142b</t>
  </si>
  <si>
    <r>
      <t>BAKERY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</si>
  <si>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01-142c</t>
  </si>
  <si>
    <r>
      <t>BAKERY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</si>
  <si>
    <t>01-143</t>
  </si>
  <si>
    <t>RD&amp;E 3 ?</t>
  </si>
  <si>
    <t>01-144</t>
  </si>
  <si>
    <r>
      <t>CHINA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CUTLERY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</si>
  <si>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01-146</t>
  </si>
  <si>
    <t>01-147</t>
  </si>
  <si>
    <r>
      <t>POT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WASHING (INCLUDED DETERGENT STO. 01-147a)</t>
    </r>
  </si>
  <si>
    <t>01-147a</t>
  </si>
  <si>
    <t>Detergent Store</t>
  </si>
  <si>
    <t>01-148</t>
  </si>
  <si>
    <r>
      <t>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</si>
  <si>
    <t>01-149</t>
  </si>
  <si>
    <r>
      <t>HOT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</si>
  <si>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01-149a</t>
  </si>
  <si>
    <r>
      <t>HOT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</si>
  <si>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01-150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</si>
  <si>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</si>
  <si>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01-150a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</si>
  <si>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(WALK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-IN)</t>
    </r>
  </si>
  <si>
    <t>01-151</t>
  </si>
  <si>
    <r>
      <t>GRADE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FOOD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</si>
  <si>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01-152</t>
  </si>
  <si>
    <r>
      <t>MAIN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CIRCULATION (M3 area)</t>
    </r>
  </si>
  <si>
    <t>01-153</t>
  </si>
  <si>
    <r>
      <t>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</si>
  <si>
    <t>01-153a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</si>
  <si>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</si>
  <si>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01-153c</t>
  </si>
  <si>
    <r>
      <t>AMENITIES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IN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DINING</t>
    </r>
  </si>
  <si>
    <t>01-154</t>
  </si>
  <si>
    <r>
      <t>ORDER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TAKER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OFFICE/DISPATCH</t>
    </r>
  </si>
  <si>
    <t>01-155</t>
  </si>
  <si>
    <r>
      <t>GREASE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TRAP</t>
    </r>
  </si>
  <si>
    <t>01-156</t>
  </si>
  <si>
    <r>
      <t>EXECUTIVE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CHEF'S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</si>
  <si>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01-156a</t>
  </si>
  <si>
    <r>
      <t>HYGIENE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LAB</t>
    </r>
  </si>
  <si>
    <t>01-157</t>
  </si>
  <si>
    <t>01-158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</si>
  <si>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</si>
  <si>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01-158a</t>
  </si>
  <si>
    <r>
      <t>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</si>
  <si>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01-158b</t>
  </si>
  <si>
    <r>
      <t>DAIRY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</si>
  <si>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</si>
  <si>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</si>
  <si>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01-159a</t>
  </si>
  <si>
    <r>
      <t>LIQUOR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</si>
  <si>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01-159b</t>
  </si>
  <si>
    <t>01-159c</t>
  </si>
  <si>
    <r>
      <t>WINE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</si>
  <si>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01-160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</si>
  <si>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</si>
  <si>
    <t>01-161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</si>
  <si>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(CLEANER'S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CHEM.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</si>
  <si>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01-162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</si>
  <si>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</si>
  <si>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01-163</t>
  </si>
  <si>
    <r>
      <t>WATER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BOTTLING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OPERATION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INCLUDES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BOTTLE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WASHING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(ALLOCATED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FROM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GENERAL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Arial"/>
        <family val="2"/>
      </rPr>
      <t>STORAGE)</t>
    </r>
  </si>
  <si>
    <t>01-164</t>
  </si>
  <si>
    <t>01-165</t>
  </si>
  <si>
    <r>
      <t>RECEIVING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TEMP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DEBOXING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WEIGHING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</si>
  <si>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01-166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</si>
  <si>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</si>
  <si>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01-167</t>
  </si>
  <si>
    <r>
      <t>FLOWER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</si>
  <si>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01-167a</t>
  </si>
  <si>
    <r>
      <t>FLOWER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</si>
  <si>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01-168</t>
  </si>
  <si>
    <r>
      <t>TEMP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REFUSE</t>
    </r>
  </si>
  <si>
    <t>01-169</t>
  </si>
  <si>
    <r>
      <t>GENERAL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(DETERGENT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STORE)</t>
    </r>
  </si>
  <si>
    <t>01-170</t>
  </si>
  <si>
    <r>
      <t>FRUIT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VEG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</si>
  <si>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01-171</t>
  </si>
  <si>
    <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</si>
  <si>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01-172</t>
  </si>
  <si>
    <r>
      <t>FISH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PREPARATION</t>
    </r>
  </si>
  <si>
    <t>01-173</t>
  </si>
  <si>
    <r>
      <t>FRUIT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VEG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</si>
  <si>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01-173a</t>
  </si>
  <si>
    <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</si>
  <si>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01-173b</t>
  </si>
  <si>
    <r>
      <t>FISH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REFRIGERATOR</t>
    </r>
  </si>
  <si>
    <t>01-173c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</si>
  <si>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FISH</t>
    </r>
  </si>
  <si>
    <t>01-173d</t>
  </si>
  <si>
    <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MEAT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POULTRY</t>
    </r>
  </si>
  <si>
    <t>01-173e</t>
  </si>
  <si>
    <t>01-174</t>
  </si>
  <si>
    <t>01-174a</t>
  </si>
  <si>
    <r>
      <t>F&amp;B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</si>
  <si>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01-175</t>
  </si>
  <si>
    <r>
      <t>FURNITURE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&amp;PROPS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</si>
  <si>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01-176</t>
  </si>
  <si>
    <t>01-177</t>
  </si>
  <si>
    <t xml:space="preserve">BAKERY  </t>
  </si>
  <si>
    <t>01-178</t>
  </si>
  <si>
    <t>ICE PRODUCTION</t>
  </si>
  <si>
    <t>01-179</t>
  </si>
  <si>
    <r>
      <t>FEMALE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</si>
  <si>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01-180</t>
  </si>
  <si>
    <r>
      <t>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TOILET</t>
    </r>
  </si>
  <si>
    <t>01-181</t>
  </si>
  <si>
    <t>MEETING ROOM</t>
  </si>
  <si>
    <t>01-182</t>
  </si>
  <si>
    <r>
      <t>CHINA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FLATWARE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GLASSWARE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</si>
  <si>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01-183</t>
  </si>
  <si>
    <t>01-184</t>
  </si>
  <si>
    <t>01-185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</si>
  <si>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STATION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PRODUCTION</t>
    </r>
  </si>
  <si>
    <t>01-185a</t>
  </si>
  <si>
    <r>
      <t>BEVERAGE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</si>
  <si>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01-186</t>
  </si>
  <si>
    <r>
      <t>WARE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POT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WASH,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SILVER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BURNISHING/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SILVER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STORE</t>
    </r>
  </si>
  <si>
    <t>01-187</t>
  </si>
  <si>
    <r>
      <t>PRODUCTION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FINISH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DISH-UP</t>
    </r>
  </si>
  <si>
    <t>01-187a</t>
  </si>
  <si>
    <r>
      <t>REFRIGERATED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-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COLDROOM</t>
    </r>
  </si>
  <si>
    <t>01-187b</t>
  </si>
  <si>
    <r>
      <t>DEEP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FREEZER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</si>
  <si>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01-188</t>
  </si>
  <si>
    <r>
      <t>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GOODS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</si>
  <si>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01-189</t>
  </si>
  <si>
    <r>
      <t>STAGING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</si>
  <si>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01-191</t>
  </si>
  <si>
    <t>01-192</t>
  </si>
  <si>
    <t>01-193</t>
  </si>
  <si>
    <t>01-194</t>
  </si>
  <si>
    <t>01-195</t>
  </si>
  <si>
    <t>STORE</t>
  </si>
  <si>
    <t>01-196</t>
  </si>
  <si>
    <t>01-197</t>
  </si>
  <si>
    <t>01-198</t>
  </si>
  <si>
    <t>01-199</t>
  </si>
  <si>
    <t>01-200</t>
  </si>
  <si>
    <t>01-201</t>
  </si>
  <si>
    <t>01-202</t>
  </si>
  <si>
    <t>01-203</t>
  </si>
  <si>
    <t>01-204</t>
  </si>
  <si>
    <t>01-205</t>
  </si>
  <si>
    <r>
      <t>WASTE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</si>
  <si>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01-206</t>
  </si>
  <si>
    <t>01-207</t>
  </si>
  <si>
    <t>01-207a</t>
  </si>
  <si>
    <t>01-208</t>
  </si>
  <si>
    <r>
      <t>MEP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CORRIDOR</t>
    </r>
  </si>
  <si>
    <t>01-209</t>
  </si>
  <si>
    <t>01-210</t>
  </si>
  <si>
    <t>01-211a</t>
  </si>
  <si>
    <r>
      <t>SCREENING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EQUIPMENT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ROOM</t>
    </r>
  </si>
  <si>
    <t>01-212</t>
  </si>
  <si>
    <t>01-213</t>
  </si>
  <si>
    <t>01-214</t>
  </si>
  <si>
    <t>01-214a</t>
  </si>
  <si>
    <t>01-215</t>
  </si>
  <si>
    <t>01-216</t>
  </si>
  <si>
    <t>01-217</t>
  </si>
  <si>
    <t>01-218</t>
  </si>
  <si>
    <r>
      <t>CONDO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OWNERS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CENTRAL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(COVERED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SPACE)</t>
    </r>
  </si>
  <si>
    <t>01-219</t>
  </si>
  <si>
    <t>01-221</t>
  </si>
  <si>
    <t>01-222</t>
  </si>
  <si>
    <r>
      <t>DIRTY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HOLDING</t>
    </r>
  </si>
  <si>
    <t>01-223</t>
  </si>
  <si>
    <r>
      <t>CLEAN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LINEN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HOUSEKEEPING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STORAGE</t>
    </r>
  </si>
  <si>
    <t>01-224</t>
  </si>
  <si>
    <r>
      <t>BUTLER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REST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</si>
  <si>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01-225</t>
  </si>
  <si>
    <t>01-226</t>
  </si>
  <si>
    <t>01-227</t>
  </si>
  <si>
    <t>01-228</t>
  </si>
  <si>
    <t>01-229</t>
  </si>
  <si>
    <r>
      <t>SERVICE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PANTRY</t>
    </r>
  </si>
  <si>
    <t>01-230</t>
  </si>
  <si>
    <t>01-231</t>
  </si>
  <si>
    <t>01-232</t>
  </si>
  <si>
    <t>01-233</t>
  </si>
  <si>
    <r>
      <t>HOTEL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LAUNDRY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LOADING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AREA</t>
    </r>
  </si>
  <si>
    <t>01-234</t>
  </si>
  <si>
    <t>01-235</t>
  </si>
  <si>
    <t>01-236</t>
  </si>
  <si>
    <t>01-237</t>
  </si>
  <si>
    <t>01-238</t>
  </si>
  <si>
    <r>
      <t>EVENTS/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MEETING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MANAGER'S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OFFICE</t>
    </r>
  </si>
  <si>
    <t>01-239</t>
  </si>
  <si>
    <t>01-240</t>
  </si>
  <si>
    <t>01-242</t>
  </si>
  <si>
    <t>01-243</t>
  </si>
  <si>
    <r>
      <t>BANQUET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/EVENTS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MEETING</t>
    </r>
  </si>
  <si>
    <t>01-244</t>
  </si>
  <si>
    <t>01-245</t>
  </si>
  <si>
    <t>01-246</t>
  </si>
  <si>
    <t>01-248</t>
  </si>
  <si>
    <t>01-249</t>
  </si>
  <si>
    <t>01-250</t>
  </si>
  <si>
    <t>01-251</t>
  </si>
  <si>
    <t>01-252</t>
  </si>
  <si>
    <t>01-254</t>
  </si>
  <si>
    <r>
      <t>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WORKSHOP</t>
    </r>
  </si>
  <si>
    <t>01-256</t>
  </si>
  <si>
    <t>01-258</t>
  </si>
  <si>
    <t>FHC</t>
  </si>
  <si>
    <t>01-265</t>
  </si>
  <si>
    <t>01-268</t>
  </si>
  <si>
    <t>01-270</t>
  </si>
  <si>
    <t>TRANSFORMER ROOM</t>
  </si>
  <si>
    <t>01-271</t>
  </si>
  <si>
    <r>
      <t>BANQUET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COORDINATION</t>
    </r>
  </si>
  <si>
    <t>01-272</t>
  </si>
  <si>
    <t>01-273</t>
  </si>
  <si>
    <t>01-274</t>
  </si>
  <si>
    <t>01-275</t>
  </si>
  <si>
    <t>01-276</t>
  </si>
  <si>
    <t>PASTRY KITCHEN, CHOCOLATE/ICE CREAM FINISHING ROOM</t>
  </si>
  <si>
    <t>01-280</t>
  </si>
  <si>
    <t>CIRCULATION (INSIDE BAKERY)</t>
  </si>
  <si>
    <t>01-281</t>
  </si>
  <si>
    <t>01-282</t>
  </si>
  <si>
    <t>01-283</t>
  </si>
  <si>
    <t>01-284</t>
  </si>
  <si>
    <t>01-285</t>
  </si>
  <si>
    <t>01-286</t>
  </si>
  <si>
    <t>01-287</t>
  </si>
  <si>
    <t>01-288</t>
  </si>
  <si>
    <t>01-289</t>
  </si>
  <si>
    <t>WOOD  AND CHARCOAL</t>
  </si>
  <si>
    <t>01-290</t>
  </si>
  <si>
    <t>01-291</t>
  </si>
  <si>
    <t>FREEZER</t>
  </si>
  <si>
    <t>01-292</t>
  </si>
  <si>
    <t>01-293</t>
  </si>
  <si>
    <t>01-294</t>
  </si>
  <si>
    <t>POOL MAIN STORE</t>
  </si>
  <si>
    <t>01-295</t>
  </si>
  <si>
    <t>01-300</t>
  </si>
  <si>
    <t>GENERATOR</t>
  </si>
  <si>
    <t>01-304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</si>
  <si>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</t>
    </r>
  </si>
  <si>
    <t>01-301</t>
  </si>
  <si>
    <t>VEHICLE MAINTENANCE / CHARGING GARAGE</t>
  </si>
  <si>
    <t>01-302</t>
  </si>
  <si>
    <t>AHU ROOM</t>
  </si>
  <si>
    <t>01-305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</si>
  <si>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5</t>
    </r>
  </si>
  <si>
    <t>01-306</t>
  </si>
  <si>
    <t>01-307</t>
  </si>
  <si>
    <t>01-308</t>
  </si>
  <si>
    <t>01-309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</si>
  <si>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</t>
    </r>
  </si>
  <si>
    <t>01-310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</si>
  <si>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3</t>
    </r>
  </si>
  <si>
    <t>01-311</t>
  </si>
  <si>
    <t>01-312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</si>
  <si>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</si>
  <si>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01-313</t>
  </si>
  <si>
    <t>01-314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</si>
  <si>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</si>
  <si>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01-315</t>
  </si>
  <si>
    <t>01-316</t>
  </si>
  <si>
    <t>01-317</t>
  </si>
  <si>
    <t>01-318</t>
  </si>
  <si>
    <t>01-320</t>
  </si>
  <si>
    <r>
      <t>STORM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WATER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TANK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8</t>
    </r>
  </si>
  <si>
    <t>01-321</t>
  </si>
  <si>
    <t>01-324</t>
  </si>
  <si>
    <t>01-325</t>
  </si>
  <si>
    <t>01-331</t>
  </si>
  <si>
    <t>01-332</t>
  </si>
  <si>
    <t>01-334</t>
  </si>
  <si>
    <t>01-335</t>
  </si>
  <si>
    <r>
      <t>ICT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CLOSET</t>
    </r>
  </si>
  <si>
    <t>01-336</t>
  </si>
  <si>
    <t>01-337</t>
  </si>
  <si>
    <t>01-338</t>
  </si>
  <si>
    <t>01-339</t>
  </si>
  <si>
    <t>01-340</t>
  </si>
  <si>
    <t>01-341</t>
  </si>
  <si>
    <t>01-342</t>
  </si>
  <si>
    <r>
      <t>LV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</si>
  <si>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01-343</t>
  </si>
  <si>
    <r>
      <t>FIRE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&amp;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PHE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</si>
  <si>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01-344</t>
  </si>
  <si>
    <r>
      <t>GEN.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FLUE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GAS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</si>
  <si>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01-346</t>
  </si>
  <si>
    <r>
      <t>ELV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</si>
  <si>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01-347</t>
  </si>
  <si>
    <r>
      <t>LPG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SHAFT</t>
    </r>
  </si>
  <si>
    <t>01-350</t>
  </si>
  <si>
    <t>STEWARD'S OFFICE</t>
  </si>
  <si>
    <t>01-353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</si>
  <si>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7</t>
    </r>
  </si>
  <si>
    <t>01-354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</si>
  <si>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8</t>
    </r>
  </si>
  <si>
    <t>01-355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</si>
  <si>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6</t>
    </r>
  </si>
  <si>
    <t>01-356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</si>
  <si>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5</t>
    </r>
  </si>
  <si>
    <t>01-357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</si>
  <si>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3</t>
    </r>
  </si>
  <si>
    <t>01-358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</si>
  <si>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2</t>
    </r>
  </si>
  <si>
    <t>01-359</t>
  </si>
  <si>
    <r>
      <t>SUMP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PIT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1</t>
    </r>
  </si>
  <si>
    <t>01-360</t>
  </si>
  <si>
    <t>01-092g</t>
  </si>
  <si>
    <r>
      <t>MAIN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CIRCULATION</t>
    </r>
  </si>
  <si>
    <t>01-326</t>
  </si>
  <si>
    <t>01-328</t>
  </si>
  <si>
    <t>01-333</t>
  </si>
  <si>
    <t>02-002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</si>
  <si>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</si>
  <si>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02-004</t>
  </si>
  <si>
    <t>Waste Holding</t>
  </si>
  <si>
    <t>02-006</t>
  </si>
  <si>
    <t>02-008</t>
  </si>
  <si>
    <t>02-010</t>
  </si>
  <si>
    <t>02-012</t>
  </si>
  <si>
    <t>02-014</t>
  </si>
  <si>
    <t>02-016</t>
  </si>
  <si>
    <t>02-020</t>
  </si>
  <si>
    <t>02-022</t>
  </si>
  <si>
    <t>02-024</t>
  </si>
  <si>
    <t>02-028</t>
  </si>
  <si>
    <t>02-030</t>
  </si>
  <si>
    <t>02-033</t>
  </si>
  <si>
    <t>02-036</t>
  </si>
  <si>
    <t>02-038</t>
  </si>
  <si>
    <t>02-040</t>
  </si>
  <si>
    <t>02-042</t>
  </si>
  <si>
    <t>02-044</t>
  </si>
  <si>
    <t>02-046</t>
  </si>
  <si>
    <t>02-048</t>
  </si>
  <si>
    <t>AV CONTROL ROOM</t>
  </si>
  <si>
    <t>02-050</t>
  </si>
  <si>
    <t>AV EQUIPMENT STORE</t>
  </si>
  <si>
    <t>02-052</t>
  </si>
  <si>
    <t>02-054</t>
  </si>
  <si>
    <t>02-056</t>
  </si>
  <si>
    <t>02-058</t>
  </si>
  <si>
    <t>02-060</t>
  </si>
  <si>
    <t>02-062</t>
  </si>
  <si>
    <t>02-064</t>
  </si>
  <si>
    <t>02-066</t>
  </si>
  <si>
    <t>02-068</t>
  </si>
  <si>
    <t>02-071</t>
  </si>
  <si>
    <t>02-073</t>
  </si>
  <si>
    <t>02-075</t>
  </si>
  <si>
    <t>CLEAN LINEN STORE</t>
  </si>
  <si>
    <t>02-077</t>
  </si>
  <si>
    <t>02-079</t>
  </si>
  <si>
    <t>WC</t>
  </si>
  <si>
    <t>02-082</t>
  </si>
  <si>
    <t>02-085</t>
  </si>
  <si>
    <t>03-003</t>
  </si>
  <si>
    <t>GOURMET BISTRO
DINING</t>
  </si>
  <si>
    <t>03-005</t>
  </si>
  <si>
    <t>03-007</t>
  </si>
  <si>
    <r>
      <t>CR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</si>
  <si>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03-009</t>
  </si>
  <si>
    <r>
      <t>PANTRY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VENTILATION</t>
    </r>
  </si>
  <si>
    <t>03-011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</si>
  <si>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LOBBY</t>
    </r>
  </si>
  <si>
    <t>03-013</t>
  </si>
  <si>
    <r>
      <t>MEP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CORRIDOR</t>
    </r>
  </si>
  <si>
    <t>03-016</t>
  </si>
  <si>
    <r>
      <t>GOURMET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BESTRO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AHU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</si>
  <si>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03-018</t>
  </si>
  <si>
    <r>
      <t>HVAC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</si>
  <si>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03-020</t>
  </si>
  <si>
    <r>
      <t>GUEST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LOBBY</t>
    </r>
  </si>
  <si>
    <t>03-023</t>
  </si>
  <si>
    <r>
      <t>DIRTY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HOLDING</t>
    </r>
  </si>
  <si>
    <t>03-026</t>
  </si>
  <si>
    <r>
      <t>ELECTRICAL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</si>
  <si>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03-028</t>
  </si>
  <si>
    <t>03-030</t>
  </si>
  <si>
    <t>03-032</t>
  </si>
  <si>
    <t>03-034</t>
  </si>
  <si>
    <t>03-037</t>
  </si>
  <si>
    <r>
      <t>CART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PARKING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</si>
  <si>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03-038</t>
  </si>
  <si>
    <t>03-040</t>
  </si>
  <si>
    <t>03-042</t>
  </si>
  <si>
    <t>03-044</t>
  </si>
  <si>
    <t>03-046</t>
  </si>
  <si>
    <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CORRIDOR</t>
    </r>
  </si>
  <si>
    <t>03-048</t>
  </si>
  <si>
    <r>
      <t>HOUSEKEEPING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SERVICE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</si>
  <si>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03-050</t>
  </si>
  <si>
    <t>03-053</t>
  </si>
  <si>
    <t>03-055</t>
  </si>
  <si>
    <t>03-057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</si>
  <si>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HOUSEKEEPING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STORAGE</t>
    </r>
  </si>
  <si>
    <t>03-059</t>
  </si>
  <si>
    <t>03-061</t>
  </si>
  <si>
    <t>03-063</t>
  </si>
  <si>
    <r>
      <t>WASTE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HOLDING</t>
    </r>
  </si>
  <si>
    <t>03-065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</si>
  <si>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STORAGE</t>
    </r>
  </si>
  <si>
    <t>03-067</t>
  </si>
  <si>
    <t>03-069</t>
  </si>
  <si>
    <t>03-071</t>
  </si>
  <si>
    <t>PLENUM</t>
  </si>
  <si>
    <t>03-073</t>
  </si>
  <si>
    <r>
      <t>ICT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CLOSET</t>
    </r>
  </si>
  <si>
    <t>03-075</t>
  </si>
  <si>
    <t>03-077</t>
  </si>
  <si>
    <r>
      <t>LPG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</si>
  <si>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03-079</t>
  </si>
  <si>
    <r>
      <t>FIRE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PHE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</si>
  <si>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03-081</t>
  </si>
  <si>
    <r>
      <t>ELV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</si>
  <si>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01-220</t>
  </si>
  <si>
    <t>01-266</t>
  </si>
  <si>
    <t>01-348</t>
  </si>
  <si>
    <t>04-000E</t>
  </si>
  <si>
    <r>
      <t>DISABLED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TOILET</t>
    </r>
  </si>
  <si>
    <t>04-001</t>
  </si>
  <si>
    <r>
      <t>SUNSET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BAR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</si>
  <si>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04-003</t>
  </si>
  <si>
    <r>
      <t>AHU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</si>
  <si>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04-005</t>
  </si>
  <si>
    <r>
      <t>TRAINING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COORDINATOR</t>
    </r>
  </si>
  <si>
    <t>04-007</t>
  </si>
  <si>
    <t>04-009</t>
  </si>
  <si>
    <r>
      <t>HR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COORDINATOR</t>
    </r>
  </si>
  <si>
    <t>04-011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</si>
  <si>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MANAGER</t>
    </r>
  </si>
  <si>
    <t>04-013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</si>
  <si>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RESERVATIONS</t>
    </r>
  </si>
  <si>
    <t>04-015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</si>
  <si>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ADMIN.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ASSISTANT</t>
    </r>
  </si>
  <si>
    <t>04-017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</si>
  <si>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ASSIST.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DIR.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OF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CATERING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EVENT</t>
    </r>
  </si>
  <si>
    <t>04-019</t>
  </si>
  <si>
    <r>
      <t>F&amp;B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DIRECTOR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OF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REVENUE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MNG.</t>
    </r>
  </si>
  <si>
    <t>04-020a</t>
  </si>
  <si>
    <r>
      <t>FINANCE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FILING</t>
    </r>
  </si>
  <si>
    <t>04-022</t>
  </si>
  <si>
    <r>
      <t>FEMALE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TOILET</t>
    </r>
  </si>
  <si>
    <t>04-024</t>
  </si>
  <si>
    <t>04-026</t>
  </si>
  <si>
    <t>PANTRY</t>
  </si>
  <si>
    <t>04-028</t>
  </si>
  <si>
    <t>04-030</t>
  </si>
  <si>
    <t>04-033</t>
  </si>
  <si>
    <t>04-034</t>
  </si>
  <si>
    <t>04-035b</t>
  </si>
  <si>
    <t>04-037</t>
  </si>
  <si>
    <r>
      <t>MAIN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FHAU</t>
    </r>
  </si>
  <si>
    <t>04-039</t>
  </si>
  <si>
    <r>
      <t>BUTLER'S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</si>
  <si>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04-041</t>
  </si>
  <si>
    <t>04-043</t>
  </si>
  <si>
    <t>04-046</t>
  </si>
  <si>
    <t>04-047a</t>
  </si>
  <si>
    <t>04-050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</si>
  <si>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</si>
  <si>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04-052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</si>
  <si>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PRAYER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</si>
  <si>
    <t>04-054</t>
  </si>
  <si>
    <t>04-056</t>
  </si>
  <si>
    <t>04-058</t>
  </si>
  <si>
    <r>
      <t>RD&amp;E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PANTRY</t>
    </r>
  </si>
  <si>
    <t>04-060</t>
  </si>
  <si>
    <t>04-062</t>
  </si>
  <si>
    <t>04-065</t>
  </si>
  <si>
    <t>04-067</t>
  </si>
  <si>
    <r>
      <t>LIFT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MACHINE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ROOM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2</t>
    </r>
  </si>
  <si>
    <t>04-069</t>
  </si>
  <si>
    <t>04-071</t>
  </si>
  <si>
    <t>04-077</t>
  </si>
  <si>
    <t>04-080</t>
  </si>
  <si>
    <t>04-082</t>
  </si>
  <si>
    <t>04-086</t>
  </si>
  <si>
    <t>04-089</t>
  </si>
  <si>
    <r>
      <t>LV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</si>
  <si>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04-091</t>
  </si>
  <si>
    <r>
      <t>PRESSURIZATION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SHAFT</t>
    </r>
  </si>
  <si>
    <t>04-093</t>
  </si>
  <si>
    <t>04-095</t>
  </si>
  <si>
    <r>
      <t>CLEAN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LINEN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&amp;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HOUSEKEEPING
STORAGE</t>
    </r>
  </si>
  <si>
    <t>04-097</t>
  </si>
  <si>
    <r>
      <t>BUTLER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REST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AREA</t>
    </r>
  </si>
  <si>
    <t>04-099</t>
  </si>
  <si>
    <t>04-103</t>
  </si>
  <si>
    <r>
      <t>CHERRY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PICKER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PARKING</t>
    </r>
  </si>
  <si>
    <t>01-257</t>
  </si>
  <si>
    <t>Engineering team</t>
  </si>
  <si>
    <t>00-047(292)</t>
  </si>
  <si>
    <t>00-048(293)</t>
  </si>
  <si>
    <t>00-049(294)</t>
  </si>
  <si>
    <t>Elsayed</t>
  </si>
  <si>
    <t>Prassana</t>
  </si>
  <si>
    <r>
      <rPr>
        <sz val="9.5"/>
        <color rgb="FF000000"/>
        <rFont val="Arial"/>
      </rPr>
      <t>BAKERY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REFRIGERATION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-</t>
    </r>
    <r>
      <rPr>
        <sz val="9.5"/>
        <color rgb="FF000000"/>
        <rFont val="Times New Roman"/>
      </rPr>
      <t xml:space="preserve"> </t>
    </r>
    <r>
      <rPr>
        <sz val="9.5"/>
        <color rgb="FF000000"/>
        <rFont val="Arial"/>
      </rPr>
      <t>COLDROOM</t>
    </r>
  </si>
  <si>
    <t>Takieddine</t>
  </si>
  <si>
    <t>Prasana</t>
  </si>
  <si>
    <t>Akshay</t>
  </si>
  <si>
    <t>Edwin</t>
  </si>
  <si>
    <t xml:space="preserve">CLUTERS </t>
  </si>
  <si>
    <t>Area</t>
  </si>
  <si>
    <t xml:space="preserve">No of Keys </t>
  </si>
  <si>
    <t>CLUSTER "A"</t>
  </si>
  <si>
    <t>A0</t>
  </si>
  <si>
    <t>A1</t>
  </si>
  <si>
    <t>A2</t>
  </si>
  <si>
    <t>A3</t>
  </si>
  <si>
    <t>A4</t>
  </si>
  <si>
    <t>CLUSTER "B"</t>
  </si>
  <si>
    <t>B0</t>
  </si>
  <si>
    <t>B1</t>
  </si>
  <si>
    <t>B2</t>
  </si>
  <si>
    <t>B3</t>
  </si>
  <si>
    <t>B4</t>
  </si>
  <si>
    <t>CLUSTER "C"</t>
  </si>
  <si>
    <t>C0</t>
  </si>
  <si>
    <t>C1</t>
  </si>
  <si>
    <t>C2</t>
  </si>
  <si>
    <t>C3</t>
  </si>
  <si>
    <t>C4</t>
  </si>
  <si>
    <t>CLUSTER "D"</t>
  </si>
  <si>
    <t>D0</t>
  </si>
  <si>
    <t>D1</t>
  </si>
  <si>
    <t>D2</t>
  </si>
  <si>
    <t>D3</t>
  </si>
  <si>
    <t>D4</t>
  </si>
  <si>
    <t>CLUSTER "E"</t>
  </si>
  <si>
    <t>E0</t>
  </si>
  <si>
    <t>E1</t>
  </si>
  <si>
    <t>E2</t>
  </si>
  <si>
    <t>E3</t>
  </si>
  <si>
    <t>E4</t>
  </si>
  <si>
    <t>CLUSTER "F"</t>
  </si>
  <si>
    <t>F0</t>
  </si>
  <si>
    <t>F1</t>
  </si>
  <si>
    <t>F2</t>
  </si>
  <si>
    <t>F3</t>
  </si>
  <si>
    <t>F4</t>
  </si>
  <si>
    <t>CLUSTER "G"</t>
  </si>
  <si>
    <t>G1</t>
  </si>
  <si>
    <t>G2</t>
  </si>
  <si>
    <t>G3</t>
  </si>
  <si>
    <t>G4</t>
  </si>
  <si>
    <t>CLUSTER "H"</t>
  </si>
  <si>
    <t>H0</t>
  </si>
  <si>
    <t>H1</t>
  </si>
  <si>
    <t>H2</t>
  </si>
  <si>
    <t>H3</t>
  </si>
  <si>
    <t>CLUSTER "I"</t>
  </si>
  <si>
    <t>I0</t>
  </si>
  <si>
    <t>I1</t>
  </si>
  <si>
    <t>I2</t>
  </si>
  <si>
    <t>I3</t>
  </si>
  <si>
    <t>CLUSTER "J"</t>
  </si>
  <si>
    <t>J0</t>
  </si>
  <si>
    <t>J1</t>
  </si>
  <si>
    <t>J2</t>
  </si>
  <si>
    <t>J3</t>
  </si>
  <si>
    <t>CLUSTER "K"</t>
  </si>
  <si>
    <t>K0</t>
  </si>
  <si>
    <t>K1</t>
  </si>
  <si>
    <t>K2</t>
  </si>
  <si>
    <t>K3</t>
  </si>
  <si>
    <t>CLUSTER "L"</t>
  </si>
  <si>
    <t>L0</t>
  </si>
  <si>
    <t>L1</t>
  </si>
  <si>
    <t>L2</t>
  </si>
  <si>
    <t>CLUSTER "M"</t>
  </si>
  <si>
    <t>M0</t>
  </si>
  <si>
    <t>M1</t>
  </si>
  <si>
    <t>M2</t>
  </si>
  <si>
    <t>CLUSTER "N"</t>
  </si>
  <si>
    <t>N0</t>
  </si>
  <si>
    <t>N1</t>
  </si>
  <si>
    <t>N2</t>
  </si>
  <si>
    <t>CLUSTER "O"</t>
  </si>
  <si>
    <t>O0</t>
  </si>
  <si>
    <t>O1</t>
  </si>
  <si>
    <t>TAIL</t>
  </si>
  <si>
    <t>W1</t>
  </si>
  <si>
    <t>P1</t>
  </si>
  <si>
    <t>Q1</t>
  </si>
  <si>
    <t>V1</t>
  </si>
  <si>
    <t>U1</t>
  </si>
  <si>
    <t>R1</t>
  </si>
  <si>
    <t>S1</t>
  </si>
  <si>
    <t>T1</t>
  </si>
  <si>
    <t>W2</t>
  </si>
  <si>
    <t>P2</t>
  </si>
  <si>
    <t>Q2</t>
  </si>
  <si>
    <t>V2</t>
  </si>
  <si>
    <t>U2</t>
  </si>
  <si>
    <t>R2</t>
  </si>
  <si>
    <t>S2</t>
  </si>
  <si>
    <t>T2</t>
  </si>
  <si>
    <t>BEACH</t>
  </si>
  <si>
    <t>GB</t>
  </si>
  <si>
    <t>FB</t>
  </si>
  <si>
    <t>EB</t>
  </si>
  <si>
    <t>DB</t>
  </si>
  <si>
    <t>CB</t>
  </si>
  <si>
    <t>BB</t>
  </si>
  <si>
    <t>AB</t>
  </si>
  <si>
    <t>CLUSTER</t>
  </si>
  <si>
    <t>ROOM NO</t>
  </si>
  <si>
    <t>CHECK BOX</t>
  </si>
  <si>
    <t>RING</t>
  </si>
  <si>
    <t>FO</t>
  </si>
  <si>
    <t>AREA
Aconex name</t>
  </si>
  <si>
    <t>GOURMET BISTRO CAFÉ</t>
  </si>
  <si>
    <t>03-001</t>
  </si>
  <si>
    <r>
      <t>GOURMET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BISTRO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</si>
  <si>
    <r>
      <t>GOURMET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BISTRO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</si>
  <si>
    <t>COUNTER</t>
  </si>
  <si>
    <r>
      <t>FOOD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UP</t>
    </r>
  </si>
  <si>
    <r>
      <t>HOT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FOOD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PRODUCTION</t>
    </r>
  </si>
  <si>
    <t>03-012</t>
  </si>
  <si>
    <r>
      <t>DRY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STORAGE</t>
    </r>
  </si>
  <si>
    <t>03-014</t>
  </si>
  <si>
    <r>
      <t>DISH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WASHING</t>
    </r>
  </si>
  <si>
    <t>03-017</t>
  </si>
  <si>
    <t>LOBBY</t>
  </si>
  <si>
    <t>03-025</t>
  </si>
  <si>
    <r>
      <t>H.C.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</si>
  <si>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03-027</t>
  </si>
  <si>
    <t>AREA</t>
  </si>
  <si>
    <t>Level 05 - ALL DAY DINING, SPECIALITY RESTAURANT-2, CLUB LOUNGE, SUNSET BAR</t>
  </si>
  <si>
    <t>05-001</t>
  </si>
  <si>
    <r>
      <t>GUEST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LOBBY</t>
    </r>
  </si>
  <si>
    <t>05-003</t>
  </si>
  <si>
    <r>
      <t>F&amp;B-1(EL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TAKOY)</t>
    </r>
  </si>
  <si>
    <t>05-005</t>
  </si>
  <si>
    <r>
      <t>F&amp;B-1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</si>
  <si>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05-006</t>
  </si>
  <si>
    <r>
      <t>DISH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COLLATE</t>
    </r>
  </si>
  <si>
    <t>05-008</t>
  </si>
  <si>
    <t>TOILET-MALE</t>
  </si>
  <si>
    <t>05-010</t>
  </si>
  <si>
    <r>
      <t>DISABLE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</si>
  <si>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05-011a</t>
  </si>
  <si>
    <r>
      <t>ELEC.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CL.</t>
    </r>
  </si>
  <si>
    <t>05-013</t>
  </si>
  <si>
    <r>
      <t>CIRCULATION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SR2</t>
    </r>
  </si>
  <si>
    <t>05-015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</si>
  <si>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STATIONS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01</t>
    </r>
  </si>
  <si>
    <t>05-017</t>
  </si>
  <si>
    <r>
      <t>SPECIALITY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RESTAURANT-2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SEATS(AKIRA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BACK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BBQ)</t>
    </r>
  </si>
  <si>
    <t>05-019</t>
  </si>
  <si>
    <t>05-022</t>
  </si>
  <si>
    <t>05-024</t>
  </si>
  <si>
    <t>05-026</t>
  </si>
  <si>
    <t>05-027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</si>
  <si>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PRODUCTION</t>
    </r>
  </si>
  <si>
    <t>05-029</t>
  </si>
  <si>
    <r>
      <t>HOT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</si>
  <si>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05-030</t>
  </si>
  <si>
    <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DESSERTS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</si>
  <si>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05-032</t>
  </si>
  <si>
    <t>05-035</t>
  </si>
  <si>
    <r>
      <t>DRY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GOODS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</si>
  <si>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05-037</t>
  </si>
  <si>
    <r>
      <t>MAIN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CIRCULATION</t>
    </r>
  </si>
  <si>
    <t>05-038</t>
  </si>
  <si>
    <r>
      <t>CLEANER'S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(DETERGENT)</t>
    </r>
  </si>
  <si>
    <t>05-040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</si>
  <si>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</si>
  <si>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05-042</t>
  </si>
  <si>
    <r>
      <t>ELECTRICAL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CABINET</t>
    </r>
  </si>
  <si>
    <t>05-043</t>
  </si>
  <si>
    <r>
      <t>CHARCOAL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</si>
  <si>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05-044c</t>
  </si>
  <si>
    <t>05-046</t>
  </si>
  <si>
    <r>
      <t>BEVERAGE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</si>
  <si>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05-048</t>
  </si>
  <si>
    <r>
      <t>MEAT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POULTRY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</si>
  <si>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05-050</t>
  </si>
  <si>
    <r>
      <t>COLD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</si>
  <si>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05-052</t>
  </si>
  <si>
    <t>05-054</t>
  </si>
  <si>
    <r>
      <t>WARE,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POT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</si>
  <si>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05-056</t>
  </si>
  <si>
    <t>05-058</t>
  </si>
  <si>
    <r>
      <t>DESSERT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</si>
  <si>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05-060</t>
  </si>
  <si>
    <t>05-062</t>
  </si>
  <si>
    <r>
      <t>SHOW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KITCHEN</t>
    </r>
  </si>
  <si>
    <t>05-065</t>
  </si>
  <si>
    <r>
      <t>PDR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2</t>
    </r>
  </si>
  <si>
    <t>05-069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</si>
  <si>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02</t>
    </r>
  </si>
  <si>
    <t>05-071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</si>
  <si>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STATIONS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02</t>
    </r>
  </si>
  <si>
    <t>05-073</t>
  </si>
  <si>
    <r>
      <t>ENT.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FOYER</t>
    </r>
  </si>
  <si>
    <t>05-075</t>
  </si>
  <si>
    <r>
      <t>F&amp;B-2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OUTDOOR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SEATING</t>
    </r>
  </si>
  <si>
    <t>05-076a</t>
  </si>
  <si>
    <t>05-078</t>
  </si>
  <si>
    <r>
      <t>F&amp;B-2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</si>
  <si>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05-080</t>
  </si>
  <si>
    <t>05-082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</si>
  <si>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MALE</t>
    </r>
  </si>
  <si>
    <t>Level 06 - ALL DAY DINING, SPECIALITY RESTAURANT-2, CLUB LOUNGE, SUNSET BAR</t>
  </si>
  <si>
    <t>06-001</t>
  </si>
  <si>
    <t>06-003</t>
  </si>
  <si>
    <r>
      <t>GRAND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CLUB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SERVERY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CATERING</t>
    </r>
  </si>
  <si>
    <t>06-005</t>
  </si>
  <si>
    <r>
      <t>PRIVATE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TERRACE</t>
    </r>
  </si>
  <si>
    <t>06-006</t>
  </si>
  <si>
    <r>
      <t>GRAND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CLUB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PANTRY</t>
    </r>
  </si>
  <si>
    <t>06-007c</t>
  </si>
  <si>
    <t>06-009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</si>
  <si>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FEMALE</t>
    </r>
  </si>
  <si>
    <t>06-011</t>
  </si>
  <si>
    <t>TOILET-ADA</t>
  </si>
  <si>
    <t>06-014a</t>
  </si>
  <si>
    <t>06-016</t>
  </si>
  <si>
    <t>DUMBWAITER</t>
  </si>
  <si>
    <t>06-018</t>
  </si>
  <si>
    <t>06-020</t>
  </si>
  <si>
    <r>
      <t>WARE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GLASS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WASH</t>
    </r>
  </si>
  <si>
    <t>06-022</t>
  </si>
  <si>
    <r>
      <t>SERVICE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CORRIDOR</t>
    </r>
  </si>
  <si>
    <t>06-023a</t>
  </si>
  <si>
    <t>06-024a</t>
  </si>
  <si>
    <t>06-025a</t>
  </si>
  <si>
    <t>06-027a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</si>
  <si>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DINING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SEATS</t>
    </r>
  </si>
  <si>
    <t>06-027c</t>
  </si>
  <si>
    <r>
      <t>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PRESIDENTE</t>
    </r>
  </si>
  <si>
    <t>06-029</t>
  </si>
  <si>
    <t>06-031</t>
  </si>
  <si>
    <r>
      <t>ELECTRICAL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CLOSET</t>
    </r>
  </si>
  <si>
    <t>06-033</t>
  </si>
  <si>
    <t>06-035</t>
  </si>
  <si>
    <r>
      <t>TERRACE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SEATING</t>
    </r>
  </si>
  <si>
    <t>06-037</t>
  </si>
  <si>
    <t>ALL DAY DINING, SPECIALITY RESTAURANT-2, CLUB LOUNGE, SUNSET BAR</t>
  </si>
  <si>
    <t>04-006</t>
  </si>
  <si>
    <r>
      <t>GUEST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STAIR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06</t>
    </r>
  </si>
  <si>
    <t>04-010</t>
  </si>
  <si>
    <t>04-012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</si>
  <si>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</si>
  <si>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04-012b</t>
  </si>
  <si>
    <t>WC-1</t>
  </si>
  <si>
    <t>04-012d</t>
  </si>
  <si>
    <t>WC-3</t>
  </si>
  <si>
    <t>04-012f</t>
  </si>
  <si>
    <t>WC-5</t>
  </si>
  <si>
    <r>
      <t>TOILET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LOBBY</t>
    </r>
  </si>
  <si>
    <t>04-016a</t>
  </si>
  <si>
    <t>04-016c</t>
  </si>
  <si>
    <t>04-016e</t>
  </si>
  <si>
    <t>04-016g</t>
  </si>
  <si>
    <r>
      <t>ADA-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</si>
  <si>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r>
      <t>PREPARATION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</si>
  <si>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04-036</t>
  </si>
  <si>
    <t>SHAFT</t>
  </si>
  <si>
    <t xml:space="preserve"> </t>
  </si>
  <si>
    <t>FITNESS LEVEL</t>
  </si>
  <si>
    <t>RECEPTION</t>
  </si>
  <si>
    <t>01-003</t>
  </si>
  <si>
    <t>01-007</t>
  </si>
  <si>
    <r>
      <t>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</si>
  <si>
    <t>01-011</t>
  </si>
  <si>
    <t>SHOWER</t>
  </si>
  <si>
    <t>W.C</t>
  </si>
  <si>
    <t>01-017</t>
  </si>
  <si>
    <r>
      <t>FEMALE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ial"/>
        <family val="2"/>
      </rPr>
      <t>CHANGING</t>
    </r>
  </si>
  <si>
    <t>01-025</t>
  </si>
  <si>
    <t>01-029</t>
  </si>
  <si>
    <t>LAP POOL</t>
  </si>
  <si>
    <t>CIRCULATION EXTERNAL</t>
  </si>
  <si>
    <t>CARDIOVASCULAR EXERCISE</t>
  </si>
  <si>
    <t>STRETCH/LOW IMPACT</t>
  </si>
  <si>
    <t>ELV</t>
  </si>
  <si>
    <t>OUTDOOR VITALITY POOL BALANCE TANK</t>
  </si>
  <si>
    <t>VITALITY POOL L1 PLANT ROOM</t>
  </si>
  <si>
    <t>Level 02 - SPA</t>
  </si>
  <si>
    <t>02-001</t>
  </si>
  <si>
    <t>02-003</t>
  </si>
  <si>
    <t>LIFT</t>
  </si>
  <si>
    <t>02-005</t>
  </si>
  <si>
    <r>
      <t>DOUBLE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TREATMENT-2</t>
    </r>
  </si>
  <si>
    <t>02-007</t>
  </si>
  <si>
    <t>SHOWER-2</t>
  </si>
  <si>
    <t>02-009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</si>
  <si>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ROOM-7</t>
    </r>
  </si>
  <si>
    <t>02-011</t>
  </si>
  <si>
    <t>SHOWER-8</t>
  </si>
  <si>
    <t>02-013</t>
  </si>
  <si>
    <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TREATMENT-8</t>
    </r>
  </si>
  <si>
    <t>02-015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</si>
  <si>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TREATMENT-5</t>
    </r>
  </si>
  <si>
    <t>02-017</t>
  </si>
  <si>
    <t>SHOWER-6</t>
  </si>
  <si>
    <t>02-019</t>
  </si>
  <si>
    <r>
      <t>ELEC.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</si>
  <si>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02-021</t>
  </si>
  <si>
    <t>BATHROOM</t>
  </si>
  <si>
    <t>02-023</t>
  </si>
  <si>
    <t>DINNING LOUNGE</t>
  </si>
  <si>
    <t>MANICURE/PEDICURE</t>
  </si>
  <si>
    <r>
      <t>STAFF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WAITING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AREA</t>
    </r>
  </si>
  <si>
    <t>02-025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</si>
  <si>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CHANGING</t>
    </r>
  </si>
  <si>
    <r>
      <t>CHG.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RM</t>
    </r>
  </si>
  <si>
    <t>02-032</t>
  </si>
  <si>
    <t>02-037</t>
  </si>
  <si>
    <t>02-039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</si>
  <si>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</si>
  <si>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02-041</t>
  </si>
  <si>
    <t>STEAM</t>
  </si>
  <si>
    <t>02-043</t>
  </si>
  <si>
    <r>
      <t>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INDOOR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WATER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ZONE</t>
    </r>
  </si>
  <si>
    <t>02-045</t>
  </si>
  <si>
    <r>
      <t>EXD.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SHOWER</t>
    </r>
  </si>
  <si>
    <t>02-047</t>
  </si>
  <si>
    <t>POOL-MALE</t>
  </si>
  <si>
    <t>02-049</t>
  </si>
  <si>
    <r>
      <t>DOUBLE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TREATMENT-1</t>
    </r>
  </si>
  <si>
    <t>02-051</t>
  </si>
  <si>
    <t>SHOWER-1</t>
  </si>
  <si>
    <t>02-053</t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</si>
  <si>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TREATMENT-2</t>
    </r>
  </si>
  <si>
    <t>02-055</t>
  </si>
  <si>
    <t>02-057</t>
  </si>
  <si>
    <r>
      <t>EXTERNAL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TREATMENT-1</t>
    </r>
  </si>
  <si>
    <r>
      <t>SINGLE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TREATMENT-3</t>
    </r>
  </si>
  <si>
    <t>SHOWER-4</t>
  </si>
  <si>
    <t>02-070</t>
  </si>
  <si>
    <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PRODUCTS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</si>
  <si>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02-072</t>
  </si>
  <si>
    <t>02-074</t>
  </si>
  <si>
    <t>02-076</t>
  </si>
  <si>
    <t>02-078</t>
  </si>
  <si>
    <t>02-080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</si>
  <si>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</si>
  <si>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02-086</t>
  </si>
  <si>
    <r>
      <t>MEP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SHAFT</t>
    </r>
  </si>
  <si>
    <t>02-088</t>
  </si>
  <si>
    <t>SAUNA</t>
  </si>
  <si>
    <t>02-090</t>
  </si>
  <si>
    <t>02-092</t>
  </si>
  <si>
    <r>
      <t>FURNITURE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</si>
  <si>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02-094</t>
  </si>
  <si>
    <r>
      <t>SALT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AROMA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</si>
  <si>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02-106</t>
  </si>
  <si>
    <r>
      <t>PHE+FP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SHAFT</t>
    </r>
  </si>
  <si>
    <t>02-108</t>
  </si>
  <si>
    <r>
      <t>FEMALE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GROOMING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ROOM</t>
    </r>
  </si>
  <si>
    <t>02-116</t>
  </si>
  <si>
    <t>CORRIDOR</t>
  </si>
  <si>
    <t>02-118</t>
  </si>
  <si>
    <t>02-120</t>
  </si>
  <si>
    <t>02-122</t>
  </si>
  <si>
    <t>ENTRANCE</t>
  </si>
  <si>
    <t>02-131</t>
  </si>
  <si>
    <r>
      <t>STAFF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TOILET</t>
    </r>
  </si>
  <si>
    <t>02-133</t>
  </si>
  <si>
    <r>
      <t>GENERAL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STORAGE</t>
    </r>
  </si>
  <si>
    <t>02-135</t>
  </si>
  <si>
    <r>
      <t>CONTROL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CABINET</t>
    </r>
  </si>
  <si>
    <t>02-136</t>
  </si>
  <si>
    <r>
      <t>CLEAN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SOILED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LINEN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STORE</t>
    </r>
  </si>
  <si>
    <t>02-138</t>
  </si>
  <si>
    <t>LEVEL 01 - MICE</t>
  </si>
  <si>
    <r>
      <t>BUSINESS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LOUNGE/DISPLAY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KITCHEN</t>
    </r>
  </si>
  <si>
    <t>01-008A</t>
  </si>
  <si>
    <r>
      <t>BOARDROOM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2</t>
    </r>
  </si>
  <si>
    <t>01-012</t>
  </si>
  <si>
    <r>
      <t>MEETING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PREFUNCTION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AREA/LOBBY</t>
    </r>
  </si>
  <si>
    <r>
      <t>BOARDROOM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1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</si>
  <si>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STAIR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01</t>
    </r>
  </si>
  <si>
    <r>
      <t>MEP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CR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</si>
  <si>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t>01-021A</t>
  </si>
  <si>
    <r>
      <t>FEMALE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ABLUTION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</si>
  <si>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r>
      <t>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ABLUTION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</si>
  <si>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t>MEP</t>
  </si>
  <si>
    <t>01-030A</t>
  </si>
  <si>
    <t>01-031A</t>
  </si>
  <si>
    <r>
      <t>FOLDING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PARTITION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PARKING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2</t>
    </r>
  </si>
  <si>
    <r>
      <t>FOLDING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PARTITION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PARKING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3</t>
    </r>
  </si>
  <si>
    <t>BALLROOM</t>
  </si>
  <si>
    <r>
      <t>ENTRY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FOYER/PRE-EVENT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AREA/LOBBY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(INTERNAL)</t>
    </r>
  </si>
  <si>
    <r>
      <t>JR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BALLROOM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PRE-FUNCTION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LOBBY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</si>
  <si>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STAIR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02</t>
    </r>
  </si>
  <si>
    <r>
      <t>FIRE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&amp;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PHE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SHAFT</t>
    </r>
  </si>
  <si>
    <r>
      <t>ELV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SHAFT</t>
    </r>
  </si>
  <si>
    <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LIFT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-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PL02</t>
    </r>
  </si>
  <si>
    <t>Level 02 - MICE</t>
  </si>
  <si>
    <t>BRIDAL SUITE</t>
  </si>
  <si>
    <t>02-018</t>
  </si>
  <si>
    <r>
      <t>AV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CONTROL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ROOM</t>
    </r>
  </si>
  <si>
    <r>
      <t>MALE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GUEST</t>
    </r>
    <r>
      <rPr>
        <sz val="9.5"/>
        <rFont val="Times New Roman"/>
        <family val="1"/>
      </rPr>
      <t xml:space="preserve"> </t>
    </r>
    <r>
      <rPr>
        <sz val="9.5"/>
        <rFont val="Arial"/>
        <family val="2"/>
      </rPr>
      <t>TOILETS</t>
    </r>
  </si>
  <si>
    <t>Room Number on Aconex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</si>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</sst>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.5"/>
      <color rgb="FF000000"/>
      <name val="Arial"/>
      <family val="2"/>
    </font>
    <font>
      <sz val="9.5"/>
      <color rgb="FF000000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theme="4" tint="-0.249977111117893"/>
      <name val="Calibri"/>
      <family val="2"/>
      <scheme val="minor"/>
    </font>
    <font>
      <sz val="9.5"/>
      <name val="Arial"/>
      <family val="2"/>
    </font>
    <font>
      <sz val="9.5"/>
      <name val="Times New Roman"/>
      <family val="1"/>
    </font>
    <font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9.5"/>
      <color theme="1"/>
      <name val="Arial"/>
      <family val="2"/>
    </font>
    <font>
      <sz val="9.5"/>
      <color rgb="FF000000"/>
      <name val="Arial"/>
    </font>
    <font>
      <sz val="11"/>
      <color rgb="FF000000"/>
      <name val="Calibri"/>
      <scheme val="minor"/>
    </font>
    <font>
      <sz val="9.5"/>
      <color rgb="FF000000"/>
      <name val="Times New Roman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8" tint="-0.249977111117893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274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4" xfId="0" applyBorder="1"/>
    <xf numFmtId="0" fontId="0" fillId="0" borderId="11" xfId="0" applyBorder="1"/>
    <xf numFmtId="0" fontId="0" fillId="0" borderId="6" xfId="0" applyBorder="1"/>
    <xf numFmtId="0" fontId="2" fillId="0" borderId="15" xfId="0" applyFont="1" applyBorder="1" applyAlignment="1">
      <alignment wrapText="1"/>
    </xf>
    <xf numFmtId="0" fontId="0" fillId="0" borderId="1" xfId="0" applyBorder="1"/>
    <xf numFmtId="0" fontId="0" fillId="0" borderId="13" xfId="0" applyBorder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14" fontId="0" fillId="0" borderId="5" xfId="0" applyNumberFormat="1" applyBorder="1"/>
    <xf numFmtId="14" fontId="0" fillId="0" borderId="8" xfId="0" applyNumberFormat="1" applyBorder="1"/>
    <xf numFmtId="14" fontId="0" fillId="0" borderId="10" xfId="0" applyNumberFormat="1" applyBorder="1"/>
    <xf numFmtId="14" fontId="0" fillId="0" borderId="0" xfId="0" applyNumberFormat="1"/>
    <xf numFmtId="14" fontId="12" fillId="3" borderId="16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 indent="1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/>
    </xf>
    <xf numFmtId="0" fontId="12" fillId="9" borderId="38" xfId="0" applyFont="1" applyFill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9" borderId="47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2" fillId="3" borderId="21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14" fontId="12" fillId="5" borderId="43" xfId="0" applyNumberFormat="1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7" xfId="0" applyFont="1" applyFill="1" applyBorder="1" applyAlignment="1">
      <alignment horizontal="center" vertical="center"/>
    </xf>
    <xf numFmtId="0" fontId="0" fillId="0" borderId="3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2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4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3" borderId="52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27" xfId="1" applyBorder="1" applyAlignment="1">
      <alignment horizontal="center" vertical="center"/>
    </xf>
    <xf numFmtId="0" fontId="26" fillId="0" borderId="29" xfId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5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 wrapText="1"/>
    </xf>
    <xf numFmtId="0" fontId="12" fillId="5" borderId="61" xfId="0" applyFont="1" applyFill="1" applyBorder="1" applyAlignment="1">
      <alignment horizontal="center" vertical="center" wrapText="1"/>
    </xf>
    <xf numFmtId="0" fontId="12" fillId="5" borderId="62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6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wrapText="1"/>
    </xf>
    <xf numFmtId="0" fontId="31" fillId="2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4" xfId="0" applyFont="1" applyBorder="1"/>
    <xf numFmtId="0" fontId="0" fillId="11" borderId="52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11" borderId="59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60" xfId="0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65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7" borderId="10" xfId="0" applyFont="1" applyFill="1" applyBorder="1" applyAlignment="1">
      <alignment horizontal="center" vertical="center"/>
    </xf>
    <xf numFmtId="0" fontId="33" fillId="9" borderId="9" xfId="0" applyFont="1" applyFill="1" applyBorder="1" applyAlignment="1">
      <alignment horizontal="center" vertical="center"/>
    </xf>
    <xf numFmtId="0" fontId="33" fillId="7" borderId="1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3" borderId="58" xfId="0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 wrapText="1"/>
    </xf>
    <xf numFmtId="0" fontId="12" fillId="5" borderId="4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28" fillId="10" borderId="0" xfId="1" applyNumberFormat="1" applyFont="1" applyFill="1" applyAlignment="1">
      <alignment horizontal="center" vertical="center"/>
    </xf>
    <xf numFmtId="0" fontId="29" fillId="12" borderId="53" xfId="0" applyFont="1" applyFill="1" applyBorder="1" applyAlignment="1">
      <alignment horizontal="center" vertical="center"/>
    </xf>
    <xf numFmtId="0" fontId="29" fillId="12" borderId="62" xfId="0" applyFont="1" applyFill="1" applyBorder="1" applyAlignment="1">
      <alignment horizontal="center" vertical="center"/>
    </xf>
    <xf numFmtId="0" fontId="29" fillId="12" borderId="63" xfId="0" applyFont="1" applyFill="1" applyBorder="1" applyAlignment="1">
      <alignment horizontal="center" vertical="center"/>
    </xf>
    <xf numFmtId="0" fontId="29" fillId="12" borderId="51" xfId="0" applyFont="1" applyFill="1" applyBorder="1" applyAlignment="1">
      <alignment horizontal="center" vertical="center"/>
    </xf>
    <xf numFmtId="0" fontId="29" fillId="12" borderId="64" xfId="0" applyFont="1" applyFill="1" applyBorder="1" applyAlignment="1">
      <alignment horizontal="center" vertical="center"/>
    </xf>
    <xf numFmtId="0" fontId="29" fillId="12" borderId="65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5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6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4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5" borderId="53" xfId="0" applyFont="1" applyFill="1" applyBorder="1" applyAlignment="1">
      <alignment horizontal="center" vertical="center"/>
    </xf>
    <xf numFmtId="0" fontId="25" fillId="5" borderId="38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5" borderId="45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48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4" borderId="19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0" fillId="7" borderId="48" xfId="0" applyFont="1" applyFill="1" applyBorder="1" applyAlignment="1">
      <alignment horizontal="center" vertical="center"/>
    </xf>
    <xf numFmtId="0" fontId="0" fillId="9" borderId="4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3"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GRAND HYATT TOTAL SNAGGING</a:t>
            </a:r>
          </a:p>
        </c:rich>
      </c:tx>
      <c:layout>
        <c:manualLayout>
          <c:xMode val="edge"/>
          <c:yMode val="edge"/>
          <c:x val="0.4666420210292832"/>
          <c:y val="1.2484058397545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MENU!$D$5</c:f>
              <c:strCache>
                <c:ptCount val="1"/>
                <c:pt idx="0">
                  <c:v>Total Snag Raised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MENU!$D$6:$D$25</c:f>
              <c:numCache>
                <c:formatCode>General</c:formatCode>
                <c:ptCount val="20"/>
                <c:pt idx="0">
                  <c:v>603</c:v>
                </c:pt>
                <c:pt idx="1">
                  <c:v>4079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17485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6-41DF-9C77-F88E7963BEE8}"/>
            </c:ext>
          </c:extLst>
        </c:ser>
        <c:ser>
          <c:idx val="1"/>
          <c:order val="1"/>
          <c:tx>
            <c:strRef>
              <c:f>MENU!$E$5</c:f>
              <c:strCache>
                <c:ptCount val="1"/>
                <c:pt idx="0">
                  <c:v>Total Snag 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MENU!$E$6:$E$25</c:f>
              <c:numCache>
                <c:formatCode>General</c:formatCode>
                <c:ptCount val="20"/>
                <c:pt idx="0">
                  <c:v>224</c:v>
                </c:pt>
                <c:pt idx="1">
                  <c:v>1614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6-41DF-9C77-F88E7963BEE8}"/>
            </c:ext>
          </c:extLst>
        </c:ser>
        <c:ser>
          <c:idx val="2"/>
          <c:order val="2"/>
          <c:tx>
            <c:strRef>
              <c:f>MENU!$F$5</c:f>
              <c:strCache>
                <c:ptCount val="1"/>
                <c:pt idx="0">
                  <c:v>Total Snag Closed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MENU!$C$6:$C$25</c:f>
              <c:strCache>
                <c:ptCount val="20"/>
                <c:pt idx="0">
                  <c:v>BOH L00</c:v>
                </c:pt>
                <c:pt idx="1">
                  <c:v>BOH L01</c:v>
                </c:pt>
                <c:pt idx="2">
                  <c:v>BOH L02</c:v>
                </c:pt>
                <c:pt idx="3">
                  <c:v>BOH L03</c:v>
                </c:pt>
                <c:pt idx="4">
                  <c:v>BOH L04</c:v>
                </c:pt>
                <c:pt idx="5">
                  <c:v>5th Floor</c:v>
                </c:pt>
                <c:pt idx="6">
                  <c:v>6th Floor</c:v>
                </c:pt>
                <c:pt idx="7">
                  <c:v>LEVEL 4, 5 &amp; 6</c:v>
                </c:pt>
                <c:pt idx="8">
                  <c:v>CAFE MAUDE</c:v>
                </c:pt>
                <c:pt idx="9">
                  <c:v>EMBERS</c:v>
                </c:pt>
                <c:pt idx="10">
                  <c:v>AMALFI POOL</c:v>
                </c:pt>
                <c:pt idx="11">
                  <c:v>RECREATION DRIFT POOLBAR &amp; GRILL</c:v>
                </c:pt>
                <c:pt idx="12">
                  <c:v>SPA &amp; Fitness</c:v>
                </c:pt>
                <c:pt idx="13">
                  <c:v>MICE AREA</c:v>
                </c:pt>
                <c:pt idx="14">
                  <c:v>ARRIVAL (RECEPTION)</c:v>
                </c:pt>
                <c:pt idx="15">
                  <c:v>FUNICULAR</c:v>
                </c:pt>
                <c:pt idx="16">
                  <c:v>Stand Alone Building </c:v>
                </c:pt>
                <c:pt idx="17">
                  <c:v>Guest Room </c:v>
                </c:pt>
                <c:pt idx="18">
                  <c:v>ROOM NO &amp; CLUSTERS</c:v>
                </c:pt>
                <c:pt idx="19">
                  <c:v>Kitchen and Storage</c:v>
                </c:pt>
              </c:strCache>
            </c:strRef>
          </c:cat>
          <c:val>
            <c:numRef>
              <c:f>MENU!$F$6:$F$25</c:f>
              <c:numCache>
                <c:formatCode>General</c:formatCode>
                <c:ptCount val="20"/>
                <c:pt idx="0">
                  <c:v>379</c:v>
                </c:pt>
                <c:pt idx="1">
                  <c:v>2580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9840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6-41DF-9C77-F88E7963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742343"/>
        <c:axId val="1081744391"/>
      </c:barChart>
      <c:catAx>
        <c:axId val="108174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44391"/>
        <c:crosses val="autoZero"/>
        <c:auto val="1"/>
        <c:lblAlgn val="ctr"/>
        <c:lblOffset val="100"/>
        <c:noMultiLvlLbl val="0"/>
      </c:catAx>
      <c:valAx>
        <c:axId val="108174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42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0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C-4221-8143-05DFFB0176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BC-4221-8143-05DFFB0176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MENU!$D$408:$D$409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MENU!$E$408:$E$409</c:f>
              <c:numCache>
                <c:formatCode>General</c:formatCode>
                <c:ptCount val="2"/>
                <c:pt idx="0">
                  <c:v>52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7-46C3-8858-243A84B3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0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2-43C6-9BC2-496F2E5CFE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2-43C6-9BC2-496F2E5CF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MENU!$D$415:$D$416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MENU!$E$415:$E$416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3-42FB-9063-921BBF965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1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D8-4450-8090-2F49FC0939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D8-4450-8090-2F49FC0939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MENU!$H$406:$H$407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MENU!$I$406:$I$407</c:f>
              <c:numCache>
                <c:formatCode>General</c:formatCode>
                <c:ptCount val="2"/>
                <c:pt idx="0">
                  <c:v>201</c:v>
                </c:pt>
                <c:pt idx="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D-407A-BC20-2E9FC0C21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1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F8-4CAC-8898-F20F3469F5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F8-4CAC-8898-F20F3469F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MENU!$H$412:$H$413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MENU!$I$412:$I$413</c:f>
              <c:numCache>
                <c:formatCode>General</c:formatCode>
                <c:ptCount val="2"/>
                <c:pt idx="0">
                  <c:v>165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D73-9579-E0A7B0E7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00 BOH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B-4CA8-A1BB-EC3D60DC8A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B-4CA8-A1BB-EC3D60DC8A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MOUND'!$N$9:$N$10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MOUND'!$O$9:$O$10</c:f>
              <c:numCache>
                <c:formatCode>General</c:formatCode>
                <c:ptCount val="2"/>
                <c:pt idx="0">
                  <c:v>47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D-4088-A0A7-4581F6E1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4-428F-A205-5B02EF8BD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4-428F-A205-5B02EF8BD1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MOUND'!$N$87:$N$88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MOUND'!$O$87:$O$88</c:f>
              <c:numCache>
                <c:formatCode>General</c:formatCode>
                <c:ptCount val="2"/>
                <c:pt idx="0">
                  <c:v>167</c:v>
                </c:pt>
                <c:pt idx="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7-4C0C-84CC-4DF80EEF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 DESNAGGED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D-490D-8B35-0CA333CD9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D-490D-8B35-0CA333CD9A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MOUND'!$P$10:$P$11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MOUND'!$Q$10:$Q$11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B-4C2A-86A0-C559849AA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8-468C-A28B-9560E2D0E9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D8-468C-A28B-9560E2D0E9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MOUND'!$P$91:$P$92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MOUND'!$Q$91:$Q$92</c:f>
              <c:numCache>
                <c:formatCode>General</c:formatCode>
                <c:ptCount val="2"/>
                <c:pt idx="0">
                  <c:v>48</c:v>
                </c:pt>
                <c:pt idx="1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6-4A77-877C-443AB2D7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 DESNAGGED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9-412E-9E4C-24D31F849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29-412E-9E4C-24D31F849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L00'!$R$55:$R$56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L00'!$S$55:$S$56</c:f>
              <c:numCache>
                <c:formatCode>General</c:formatCode>
                <c:ptCount val="2"/>
                <c:pt idx="0">
                  <c:v>21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9-412E-9E4C-24D31F849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00 BOH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B-4043-A142-5361EF1B40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B-4043-A142-5361EF1B40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L00'!$O$55:$O$56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L00'!$P$55:$P$56</c:f>
              <c:numCache>
                <c:formatCode>General</c:formatCode>
                <c:ptCount val="2"/>
                <c:pt idx="0">
                  <c:v>52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3B-4043-A142-5361EF1B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9-47C8-ADCE-7F127990A2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60-4D94-981D-651CA81E59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L01'!$O$73:$O$74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L01'!$P$73:$P$74</c:f>
              <c:numCache>
                <c:formatCode>General</c:formatCode>
                <c:ptCount val="2"/>
                <c:pt idx="0">
                  <c:v>201</c:v>
                </c:pt>
                <c:pt idx="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9-424D-B8AD-7F6AAC1F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LVL 01 BOH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E-4177-B709-7400DF14BC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B-40CA-BE90-F171371B6D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L01'!$R$73:$R$74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L01'!$S$73:$S$74</c:f>
              <c:numCache>
                <c:formatCode>General</c:formatCode>
                <c:ptCount val="2"/>
                <c:pt idx="0">
                  <c:v>165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177-B709-7400DF14B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2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4-4133-B47B-7F9B6A4E4B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84-4133-B47B-7F9B6A4E4B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L02'!$O$10:$O$11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L02'!$P$10:$P$11</c:f>
              <c:numCache>
                <c:formatCode>General</c:formatCode>
                <c:ptCount val="2"/>
                <c:pt idx="0">
                  <c:v>0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1-4E44-9AA5-2CCAEF35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2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DC-4078-A953-685A05585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DC-4078-A953-685A055856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L02'!$R$10:$R$11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L02'!$S$10:$S$11</c:f>
              <c:numCache>
                <c:formatCode>General</c:formatCode>
                <c:ptCount val="2"/>
                <c:pt idx="0">
                  <c:v>0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246-9BAA-1BC69648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4 ( 1a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F-429A-A528-5DDAFA4F1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F-429A-A528-5DDAFA4F1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L04'!$O$17:$O$18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L04'!$P$17:$P$18</c:f>
              <c:numCache>
                <c:formatCode>General</c:formatCode>
                <c:ptCount val="2"/>
                <c:pt idx="0">
                  <c:v>0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2-4620-8EFB-2F870187B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BOH LVL 4 ( 1b stage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5B-4720-B8CA-935101444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5B-4720-B8CA-935101444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'BOH L04'!$R$17:$R$18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'BOH L04'!$S$17:$S$18</c:f>
              <c:numCache>
                <c:formatCode>General</c:formatCode>
                <c:ptCount val="2"/>
                <c:pt idx="0">
                  <c:v>0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C-4B53-8203-D471FD21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D-4DC0-B547-CBC2498F3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D-4DC0-B547-CBC2498F3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'Guest Room '!$O$7:$O$8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'Guest Room '!$P$7:$P$8</c:f>
              <c:numCache>
                <c:formatCode>General</c:formatCode>
                <c:ptCount val="2"/>
                <c:pt idx="0">
                  <c:v>34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7-4956-AF01-9D463979A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A-4D27-9B59-B7906AFDC7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A-4D27-9B59-B7906AFDC7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'Guest Room '!$Q$7:$Q$8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'Guest Room '!$R$7:$R$8</c:f>
              <c:numCache>
                <c:formatCode>General</c:formatCode>
                <c:ptCount val="2"/>
                <c:pt idx="0">
                  <c:v>29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A-4E1F-BBE7-576F12AA2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ROOMS SNAGGED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DE-4683-A918-E1BBDB5733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DE-4683-A918-E1BBDB5733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'ROOM NO &amp; CLUSTERS'!$I$6:$I$7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'ROOM NO &amp; CLUSTERS'!$J$6:$J$7</c:f>
              <c:numCache>
                <c:formatCode>General</c:formatCode>
                <c:ptCount val="2"/>
                <c:pt idx="0">
                  <c:v>171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B-42BE-B0E6-0BB5396B7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2</xdr:row>
      <xdr:rowOff>28575</xdr:rowOff>
    </xdr:from>
    <xdr:to>
      <xdr:col>13</xdr:col>
      <xdr:colOff>342900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24333-C260-D915-0AB7-631EF166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25</xdr:row>
      <xdr:rowOff>66675</xdr:rowOff>
    </xdr:from>
    <xdr:to>
      <xdr:col>8</xdr:col>
      <xdr:colOff>962025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651B0-F0D4-EC87-1B4B-E50C3260ABA0}"/>
            </a:ext>
            <a:ext uri="{147F2762-F138-4A5C-976F-8EAC2B608ADB}">
              <a16:predDERef xmlns:a16="http://schemas.microsoft.com/office/drawing/2014/main" pred="{12E24333-C260-D915-0AB7-631EF166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39</xdr:row>
      <xdr:rowOff>180975</xdr:rowOff>
    </xdr:from>
    <xdr:to>
      <xdr:col>8</xdr:col>
      <xdr:colOff>971550</xdr:colOff>
      <xdr:row>54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E730D-62C1-147D-BD48-318E8DE4D29D}"/>
            </a:ext>
            <a:ext uri="{147F2762-F138-4A5C-976F-8EAC2B608ADB}">
              <a16:predDERef xmlns:a16="http://schemas.microsoft.com/office/drawing/2014/main" pred="{DEB651B0-F0D4-EC87-1B4B-E50C3260A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962025</xdr:colOff>
      <xdr:row>25</xdr:row>
      <xdr:rowOff>76200</xdr:rowOff>
    </xdr:from>
    <xdr:to>
      <xdr:col>11</xdr:col>
      <xdr:colOff>342900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EBC913-BB97-7DEB-7F51-C1AADB785856}"/>
            </a:ext>
            <a:ext uri="{147F2762-F138-4A5C-976F-8EAC2B608ADB}">
              <a16:predDERef xmlns:a16="http://schemas.microsoft.com/office/drawing/2014/main" pred="{986E730D-62C1-147D-BD48-318E8DE4D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609600</xdr:colOff>
      <xdr:row>390</xdr:row>
      <xdr:rowOff>180975</xdr:rowOff>
    </xdr:from>
    <xdr:to>
      <xdr:col>9</xdr:col>
      <xdr:colOff>152400</xdr:colOff>
      <xdr:row>405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A19C79-5A50-D88F-BF08-B30DEBDD8AAB}"/>
            </a:ext>
            <a:ext uri="{147F2762-F138-4A5C-976F-8EAC2B608ADB}">
              <a16:predDERef xmlns:a16="http://schemas.microsoft.com/office/drawing/2014/main" pred="{19EBC913-BB97-7DEB-7F51-C1AADB785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10</xdr:row>
      <xdr:rowOff>9525</xdr:rowOff>
    </xdr:from>
    <xdr:to>
      <xdr:col>15</xdr:col>
      <xdr:colOff>9525</xdr:colOff>
      <xdr:row>23</xdr:row>
      <xdr:rowOff>114300</xdr:rowOff>
    </xdr:to>
    <xdr:graphicFrame macro="">
      <xdr:nvGraphicFramePr>
        <xdr:cNvPr id="133" name="Chart 34">
          <a:extLst>
            <a:ext uri="{FF2B5EF4-FFF2-40B4-BE49-F238E27FC236}">
              <a16:creationId xmlns:a16="http://schemas.microsoft.com/office/drawing/2014/main" id="{C81BFB03-00AA-0AE9-1144-4A709C7ED0AD}"/>
            </a:ext>
            <a:ext uri="{147F2762-F138-4A5C-976F-8EAC2B608ADB}">
              <a16:predDERef xmlns:a16="http://schemas.microsoft.com/office/drawing/2014/main" pred="{0D25113A-4F59-2E21-42A4-EDAD9DD7A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88</xdr:row>
      <xdr:rowOff>19050</xdr:rowOff>
    </xdr:from>
    <xdr:to>
      <xdr:col>14</xdr:col>
      <xdr:colOff>1447800</xdr:colOff>
      <xdr:row>101</xdr:row>
      <xdr:rowOff>219075</xdr:rowOff>
    </xdr:to>
    <xdr:graphicFrame macro="">
      <xdr:nvGraphicFramePr>
        <xdr:cNvPr id="138" name="Chart 35">
          <a:extLst>
            <a:ext uri="{FF2B5EF4-FFF2-40B4-BE49-F238E27FC236}">
              <a16:creationId xmlns:a16="http://schemas.microsoft.com/office/drawing/2014/main" id="{A37093C5-A874-E572-526E-AC4722929276}"/>
            </a:ext>
            <a:ext uri="{147F2762-F138-4A5C-976F-8EAC2B608ADB}">
              <a16:predDERef xmlns:a16="http://schemas.microsoft.com/office/drawing/2014/main" pred="{C81BFB03-00AA-0AE9-1144-4A709C7ED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10</xdr:row>
      <xdr:rowOff>333375</xdr:rowOff>
    </xdr:from>
    <xdr:to>
      <xdr:col>17</xdr:col>
      <xdr:colOff>0</xdr:colOff>
      <xdr:row>26</xdr:row>
      <xdr:rowOff>38100</xdr:rowOff>
    </xdr:to>
    <xdr:graphicFrame macro="">
      <xdr:nvGraphicFramePr>
        <xdr:cNvPr id="136" name="Chart 36">
          <a:extLst>
            <a:ext uri="{FF2B5EF4-FFF2-40B4-BE49-F238E27FC236}">
              <a16:creationId xmlns:a16="http://schemas.microsoft.com/office/drawing/2014/main" id="{F25E2844-BAA7-D7C0-5844-E6C7C506245E}"/>
            </a:ext>
            <a:ext uri="{147F2762-F138-4A5C-976F-8EAC2B608ADB}">
              <a16:predDERef xmlns:a16="http://schemas.microsoft.com/office/drawing/2014/main" pred="{A37093C5-A874-E572-526E-AC4722929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1457325</xdr:colOff>
      <xdr:row>92</xdr:row>
      <xdr:rowOff>9525</xdr:rowOff>
    </xdr:from>
    <xdr:to>
      <xdr:col>16</xdr:col>
      <xdr:colOff>1895475</xdr:colOff>
      <xdr:row>104</xdr:row>
      <xdr:rowOff>19050</xdr:rowOff>
    </xdr:to>
    <xdr:graphicFrame macro="">
      <xdr:nvGraphicFramePr>
        <xdr:cNvPr id="139" name="Chart 37">
          <a:extLst>
            <a:ext uri="{FF2B5EF4-FFF2-40B4-BE49-F238E27FC236}">
              <a16:creationId xmlns:a16="http://schemas.microsoft.com/office/drawing/2014/main" id="{3512DBD9-F259-47B3-586F-BF723371F42A}"/>
            </a:ext>
            <a:ext uri="{147F2762-F138-4A5C-976F-8EAC2B608ADB}">
              <a16:predDERef xmlns:a16="http://schemas.microsoft.com/office/drawing/2014/main" pred="{F25E2844-BAA7-D7C0-5844-E6C7C5062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1457325</xdr:colOff>
      <xdr:row>56</xdr:row>
      <xdr:rowOff>47625</xdr:rowOff>
    </xdr:from>
    <xdr:to>
      <xdr:col>19</xdr:col>
      <xdr:colOff>9525</xdr:colOff>
      <xdr:row>70</xdr:row>
      <xdr:rowOff>66675</xdr:rowOff>
    </xdr:to>
    <xdr:graphicFrame macro="">
      <xdr:nvGraphicFramePr>
        <xdr:cNvPr id="4" name="Chart 36">
          <a:extLst>
            <a:ext uri="{FF2B5EF4-FFF2-40B4-BE49-F238E27FC236}">
              <a16:creationId xmlns:a16="http://schemas.microsoft.com/office/drawing/2014/main" id="{74AD5795-02B6-4298-B449-B77221C4275D}"/>
            </a:ext>
            <a:ext uri="{147F2762-F138-4A5C-976F-8EAC2B608ADB}">
              <a16:predDERef xmlns:a16="http://schemas.microsoft.com/office/drawing/2014/main" pred="{C75D678F-AA40-453F-AA80-DC89AB0FC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819150</xdr:colOff>
      <xdr:row>56</xdr:row>
      <xdr:rowOff>28575</xdr:rowOff>
    </xdr:from>
    <xdr:to>
      <xdr:col>15</xdr:col>
      <xdr:colOff>2124075</xdr:colOff>
      <xdr:row>70</xdr:row>
      <xdr:rowOff>57150</xdr:rowOff>
    </xdr:to>
    <xdr:graphicFrame macro="">
      <xdr:nvGraphicFramePr>
        <xdr:cNvPr id="2" name="Chart 34">
          <a:extLst>
            <a:ext uri="{FF2B5EF4-FFF2-40B4-BE49-F238E27FC236}">
              <a16:creationId xmlns:a16="http://schemas.microsoft.com/office/drawing/2014/main" id="{C75D678F-AA40-453F-AA80-DC89AB0FCC08}"/>
            </a:ext>
            <a:ext uri="{147F2762-F138-4A5C-976F-8EAC2B608ADB}">
              <a16:predDERef xmlns:a16="http://schemas.microsoft.com/office/drawing/2014/main" pred="{74AD5795-02B6-4298-B449-B77221C42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74</xdr:row>
      <xdr:rowOff>19050</xdr:rowOff>
    </xdr:from>
    <xdr:to>
      <xdr:col>15</xdr:col>
      <xdr:colOff>1447800</xdr:colOff>
      <xdr:row>87</xdr:row>
      <xdr:rowOff>219075</xdr:rowOff>
    </xdr:to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24F6C53E-BF3E-41DD-A8D8-89478EDF307B}"/>
            </a:ext>
            <a:ext uri="{147F2762-F138-4A5C-976F-8EAC2B608ADB}">
              <a16:predDERef xmlns:a16="http://schemas.microsoft.com/office/drawing/2014/main" pred="{8BCC59EA-F15E-461F-BE47-D252BEE52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1447800</xdr:colOff>
      <xdr:row>74</xdr:row>
      <xdr:rowOff>9525</xdr:rowOff>
    </xdr:from>
    <xdr:to>
      <xdr:col>18</xdr:col>
      <xdr:colOff>1895475</xdr:colOff>
      <xdr:row>87</xdr:row>
      <xdr:rowOff>219075</xdr:rowOff>
    </xdr:to>
    <xdr:graphicFrame macro="">
      <xdr:nvGraphicFramePr>
        <xdr:cNvPr id="5" name="Chart 37">
          <a:extLst>
            <a:ext uri="{FF2B5EF4-FFF2-40B4-BE49-F238E27FC236}">
              <a16:creationId xmlns:a16="http://schemas.microsoft.com/office/drawing/2014/main" id="{E9E789FA-D6C7-48CA-B1C2-61CF321A275F}"/>
            </a:ext>
            <a:ext uri="{147F2762-F138-4A5C-976F-8EAC2B608ADB}">
              <a16:predDERef xmlns:a16="http://schemas.microsoft.com/office/drawing/2014/main" pred="{24F6C53E-BF3E-41DD-A8D8-89478EDF3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2057400</xdr:colOff>
      <xdr:row>11</xdr:row>
      <xdr:rowOff>28575</xdr:rowOff>
    </xdr:from>
    <xdr:to>
      <xdr:col>15</xdr:col>
      <xdr:colOff>2181225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22907-5C96-A361-7B24-C7CFC6FF2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10</xdr:row>
      <xdr:rowOff>190500</xdr:rowOff>
    </xdr:from>
    <xdr:to>
      <xdr:col>19</xdr:col>
      <xdr:colOff>9525</xdr:colOff>
      <xdr:row>24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64649-47DA-C32A-575F-1EC17FFB501F}"/>
            </a:ext>
            <a:ext uri="{147F2762-F138-4A5C-976F-8EAC2B608ADB}">
              <a16:predDERef xmlns:a16="http://schemas.microsoft.com/office/drawing/2014/main" pred="{2A122907-5C96-A361-7B24-C7CFC6FF2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28575</xdr:rowOff>
    </xdr:from>
    <xdr:to>
      <xdr:col>15</xdr:col>
      <xdr:colOff>1952625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F84C4-EDFE-D315-CC75-9C299B7B6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1885950</xdr:colOff>
      <xdr:row>18</xdr:row>
      <xdr:rowOff>38100</xdr:rowOff>
    </xdr:from>
    <xdr:to>
      <xdr:col>18</xdr:col>
      <xdr:colOff>1495425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25033-5807-2EEA-1469-E3F6E59C2337}"/>
            </a:ext>
            <a:ext uri="{147F2762-F138-4A5C-976F-8EAC2B608ADB}">
              <a16:predDERef xmlns:a16="http://schemas.microsoft.com/office/drawing/2014/main" pred="{84AF84C4-EDFE-D315-CC75-9C299B7B6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8</xdr:row>
      <xdr:rowOff>28575</xdr:rowOff>
    </xdr:from>
    <xdr:to>
      <xdr:col>15</xdr:col>
      <xdr:colOff>2295525</xdr:colOff>
      <xdr:row>26</xdr:row>
      <xdr:rowOff>180975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7FD435A0-69D7-7955-FE5D-A212788D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2247900</xdr:colOff>
      <xdr:row>8</xdr:row>
      <xdr:rowOff>19050</xdr:rowOff>
    </xdr:from>
    <xdr:to>
      <xdr:col>18</xdr:col>
      <xdr:colOff>9525</xdr:colOff>
      <xdr:row>27</xdr:row>
      <xdr:rowOff>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C8BB3FA1-CE54-69E3-96B7-C18F40332C01}"/>
            </a:ext>
            <a:ext uri="{147F2762-F138-4A5C-976F-8EAC2B608ADB}">
              <a16:predDERef xmlns:a16="http://schemas.microsoft.com/office/drawing/2014/main" pred="{7FD435A0-69D7-7955-FE5D-A212788D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1371600</xdr:colOff>
      <xdr:row>7</xdr:row>
      <xdr:rowOff>0</xdr:rowOff>
    </xdr:from>
    <xdr:to>
      <xdr:col>9</xdr:col>
      <xdr:colOff>2552700</xdr:colOff>
      <xdr:row>30</xdr:row>
      <xdr:rowOff>142875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A5C23AC-311A-8435-95C8-923F6C67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Hassanain, Abdulrahman (RSIGH)" id="{CD38751B-3378-4761-A241-34328C5682A9}" userId="S::abdulrahman.hassanain@hyatt.com::ad3caf02-0af8-431c-871b-27ee260ea91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7B5C0-3476-4A3C-B62C-AE5106C0D4F2}" name="BOHMOUND" displayName="BOHMOUND" ref="D6:M592" totalsRowCount="1" headerRowDxfId="198" dataDxfId="197" headerRowBorderDxfId="195" tableBorderDxfId="196" totalsRowBorderDxfId="194">
  <autoFilter ref="D6:M591" xr:uid="{24A7B5C0-3476-4A3C-B62C-AE5106C0D4F2}"/>
  <tableColumns count="10">
    <tableColumn id="1" xr3:uid="{117FF9C4-3687-46CA-A822-52CCF30136B5}" name="Column1" dataDxfId="192" totalsRowDxfId="193"/>
    <tableColumn id="2" xr3:uid="{89B231DE-19E2-44C2-8313-F1A090F8EDD9}" name="Column2" dataDxfId="190" totalsRowDxfId="191"/>
    <tableColumn id="3" xr3:uid="{BDBAD977-5E24-4A4F-A454-3A9BBB5EE7B3}" name="Column3" dataDxfId="188" totalsRowDxfId="189"/>
    <tableColumn id="4" xr3:uid="{2F28FA40-88E2-4856-AD99-B58AFD4FCD01}" name="Column4" dataDxfId="186" totalsRowDxfId="187"/>
    <tableColumn id="5" xr3:uid="{99AAD91F-DCA9-4A3B-A44C-E41AC90AE2A1}" name="Column5" dataDxfId="184" totalsRowDxfId="185"/>
    <tableColumn id="6" xr3:uid="{EF6BFC55-5B23-4C9A-B536-7D8F4DE140E5}" name="Column6" dataDxfId="182" totalsRowDxfId="183"/>
    <tableColumn id="7" xr3:uid="{ADE6E3A6-2A8B-41CE-AC17-9DBFF415737C}" name="Column7" dataDxfId="180" totalsRowDxfId="181"/>
    <tableColumn id="8" xr3:uid="{1CA173B0-19FB-4EEB-A7E8-6852E251104F}" name="Column8" totalsRowFunction="sum" dataDxfId="178" totalsRowDxfId="179"/>
    <tableColumn id="9" xr3:uid="{F0330B04-2C49-4002-8203-E9CE6FC71B7C}" name="Column9" totalsRowFunction="custom" dataDxfId="176" totalsRowDxfId="177">
      <totalsRowFormula>SUBTOTAL(109,BOHMOUND[Column9])</totalsRowFormula>
    </tableColumn>
    <tableColumn id="10" xr3:uid="{F99E7015-7A5A-420A-BE3C-2582CC912529}" name="Column10" totalsRowFunction="custom" dataDxfId="174" totalsRowDxfId="175">
      <totalsRowFormula>SUBTOTAL(109,BOHMOUND[Column10])</totalsRow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40ACB-19A8-493A-8563-D2D37AD0F3AF}" name="BOHL00" displayName="BOHL00" ref="D17:M95" totalsRowCount="1" headerRowDxfId="171" dataDxfId="170" headerRowBorderDxfId="168" tableBorderDxfId="169" totalsRowBorderDxfId="167">
  <autoFilter ref="D17:M94" xr:uid="{24A7B5C0-3476-4A3C-B62C-AE5106C0D4F2}"/>
  <tableColumns count="10">
    <tableColumn id="1" xr3:uid="{3793AC53-B7EA-49A6-93C3-3087C7E1A224}" name="Column1" dataDxfId="166"/>
    <tableColumn id="2" xr3:uid="{0D9F5541-D3C2-498F-8F53-3A6BF9E04AA3}" name="Column2" dataDxfId="165"/>
    <tableColumn id="3" xr3:uid="{BA59C3D5-874E-4DFC-8E4A-C90529CB62FA}" name="Column3" dataDxfId="164"/>
    <tableColumn id="4" xr3:uid="{27BBF25A-6EC5-4FC7-9B1C-E78C6B54E96D}" name="Column4" dataDxfId="163"/>
    <tableColumn id="5" xr3:uid="{F77B9752-09EC-4EAF-85C5-65C27092EAE8}" name="Column5" dataDxfId="162"/>
    <tableColumn id="6" xr3:uid="{9A18A486-99B7-4915-9F59-47CD47CBE312}" name="Column6" dataDxfId="161"/>
    <tableColumn id="7" xr3:uid="{F01D8FBE-0758-4504-B1EB-2B19251A7D68}" name="Column7" dataDxfId="160"/>
    <tableColumn id="8" xr3:uid="{D8E69BFE-71C4-40D1-84E7-DD7076C50497}" name="Column8" totalsRowFunction="custom" dataDxfId="158" totalsRowDxfId="159">
      <totalsRowFormula>SUM(BOHL00[Column8])</totalsRowFormula>
    </tableColumn>
    <tableColumn id="9" xr3:uid="{F7DBA789-D988-4868-95A2-03D046C3EDFA}" name="Column9" totalsRowFunction="custom" dataDxfId="156" totalsRowDxfId="157">
      <calculatedColumnFormula>K18-M18</calculatedColumnFormula>
      <totalsRowFormula>SUM(BOHL00[Column9])</totalsRowFormula>
    </tableColumn>
    <tableColumn id="10" xr3:uid="{ED524936-91E8-4AB8-AF40-C69FB8532CBB}" name="Column10" totalsRowFunction="custom" dataDxfId="154" totalsRowDxfId="155">
      <totalsRowFormula>SUM(BOHL00[Column10])</totalsRow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4D6EA6-A53A-435A-B94E-B7F5DD15BC19}" name="BOHL01" displayName="BOHL01" ref="D6:M389" totalsRowCount="1" headerRowDxfId="124" dataDxfId="123" headerRowBorderDxfId="121" tableBorderDxfId="122" totalsRowBorderDxfId="120">
  <autoFilter ref="D6:M388" xr:uid="{24A7B5C0-3476-4A3C-B62C-AE5106C0D4F2}"/>
  <tableColumns count="10">
    <tableColumn id="1" xr3:uid="{CD87EDF7-1F7C-4410-81B8-0F4D15604433}" name="Column1" dataDxfId="118" totalsRowDxfId="119"/>
    <tableColumn id="2" xr3:uid="{8276DF2B-27C4-4701-854E-45610B15ABA8}" name="Column2" dataDxfId="116" totalsRowDxfId="117"/>
    <tableColumn id="3" xr3:uid="{F2C791D2-EE9C-4B8D-8E4F-DDA3927C1F21}" name="Column3" dataDxfId="114" totalsRowDxfId="115"/>
    <tableColumn id="4" xr3:uid="{A9C38314-C6D7-4549-9831-9A51E66A4267}" name="Column4" dataDxfId="112" totalsRowDxfId="113"/>
    <tableColumn id="5" xr3:uid="{7C373EAA-F63C-40D6-A354-0A9341279BD6}" name="Column5" dataDxfId="110" totalsRowDxfId="111"/>
    <tableColumn id="6" xr3:uid="{8533585B-32BD-4EC8-8CCC-8D32533967E2}" name="Column6" dataDxfId="108" totalsRowDxfId="109"/>
    <tableColumn id="7" xr3:uid="{593ABF84-455E-40E9-985B-971EDB5E180A}" name="Column7" dataDxfId="106" totalsRowDxfId="107"/>
    <tableColumn id="8" xr3:uid="{6E992D88-9950-4775-8B3E-C6A71122CA28}" name="Column8" totalsRowFunction="custom" dataDxfId="104" totalsRowDxfId="105">
      <totalsRowFormula>SUM(BOHL01[Column8])-46</totalsRowFormula>
    </tableColumn>
    <tableColumn id="9" xr3:uid="{A938A7D1-C37C-4545-91EF-C46CFB9A546E}" name="Column9" totalsRowFunction="custom" dataDxfId="102" totalsRowDxfId="103">
      <calculatedColumnFormula>(BOHL01[[#This Row],[Column8]]-M7)</calculatedColumnFormula>
      <totalsRowFormula>SUM(BOHL01[Column9])</totalsRowFormula>
    </tableColumn>
    <tableColumn id="10" xr3:uid="{10206742-D22A-4CDA-B7B7-3284095EDD0C}" name="Column10" totalsRowFunction="custom" dataDxfId="100" totalsRowDxfId="101">
      <totalsRowFormula>SUM(BOHL01[Column10])+69</totalsRow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6BA2C-ED26-4E4E-970E-4EF14C8BB192}" name="Table25" displayName="Table25" ref="D6:M46" totalsRowCount="1" headerRowDxfId="98" dataDxfId="97" headerRowBorderDxfId="95" tableBorderDxfId="96" totalsRowBorderDxfId="94">
  <autoFilter ref="D6:M45" xr:uid="{24A7B5C0-3476-4A3C-B62C-AE5106C0D4F2}"/>
  <tableColumns count="10">
    <tableColumn id="1" xr3:uid="{F3F8F9A1-719C-4EBF-9151-295AEA415911}" name="Column1" dataDxfId="92" totalsRowDxfId="93"/>
    <tableColumn id="2" xr3:uid="{1ED891F2-C90A-4A4C-B711-0C1A84A02E91}" name="Column2" dataDxfId="90" totalsRowDxfId="91"/>
    <tableColumn id="3" xr3:uid="{E2887F92-6F7C-409A-8764-B8878B92C122}" name="Column3" dataDxfId="88" totalsRowDxfId="89"/>
    <tableColumn id="4" xr3:uid="{4BC77C4E-F5F9-4B62-B6E8-19FB3FC6C605}" name="Column4" dataDxfId="86" totalsRowDxfId="87"/>
    <tableColumn id="5" xr3:uid="{06C068B0-1EC0-4156-BC97-F5662E89B67A}" name="Column5" dataDxfId="84" totalsRowDxfId="85"/>
    <tableColumn id="6" xr3:uid="{615554A1-DB48-42F8-9104-FB39290D6C1E}" name="Column6" dataDxfId="82" totalsRowDxfId="83"/>
    <tableColumn id="7" xr3:uid="{80AE66EC-AB35-404D-B5CC-AAB5C00F65AB}" name="Column7" dataDxfId="80" totalsRowDxfId="81"/>
    <tableColumn id="8" xr3:uid="{5D27126D-7B0B-4697-B719-F51C52BA1F58}" name="Column8" totalsRowFunction="custom" dataDxfId="78" totalsRowDxfId="79">
      <totalsRowFormula>SUM(Table25[Column8])</totalsRowFormula>
    </tableColumn>
    <tableColumn id="9" xr3:uid="{E0460F7C-1B96-4D17-BFBA-FEAF02BDE49B}" name="Column9" totalsRowFunction="custom" dataDxfId="76" totalsRowDxfId="77">
      <totalsRowFormula>SUM(Table25[Column9])</totalsRowFormula>
    </tableColumn>
    <tableColumn id="10" xr3:uid="{56BFFAB3-DD6A-46E0-8261-442E756FB9C9}" name="Column10" totalsRowFunction="custom" dataDxfId="74" totalsRowDxfId="75">
      <totalsRowFormula>SUM(Table25[Column10])</totalsRow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226698-4B5B-48BE-A329-91967E5E4882}" name="Table26" displayName="Table26" ref="D6:M45" totalsRowShown="0" headerRowDxfId="72" dataDxfId="71" headerRowBorderDxfId="69" tableBorderDxfId="70" totalsRowBorderDxfId="68">
  <autoFilter ref="D6:M45" xr:uid="{24A7B5C0-3476-4A3C-B62C-AE5106C0D4F2}"/>
  <tableColumns count="10">
    <tableColumn id="1" xr3:uid="{3A4A1912-697B-44FC-AFD5-E5DDDB3E5B5B}" name="Column1" dataDxfId="67"/>
    <tableColumn id="2" xr3:uid="{0FB1D126-9B56-48AB-A7CB-630E8A9F71B1}" name="Column2" dataDxfId="66"/>
    <tableColumn id="3" xr3:uid="{C7461F89-777D-4B15-B548-532AAED42949}" name="Column3" dataDxfId="65"/>
    <tableColumn id="4" xr3:uid="{0479D8C4-1D52-4D1A-90FA-3ABDE78D4452}" name="Column4" dataDxfId="64"/>
    <tableColumn id="5" xr3:uid="{9323FEBA-5ECF-4611-A1DA-D2044CB4B617}" name="Column5" dataDxfId="63"/>
    <tableColumn id="6" xr3:uid="{847F81A5-5CBB-4B42-8895-DDB431C24FC9}" name="Column6" dataDxfId="62"/>
    <tableColumn id="7" xr3:uid="{3CC1519E-142B-4C7E-8463-6ADC66F17E41}" name="Column7" dataDxfId="61"/>
    <tableColumn id="8" xr3:uid="{7BA42841-35A1-4935-80C6-9A77AA10D7B8}" name="Column8" dataDxfId="60"/>
    <tableColumn id="9" xr3:uid="{95E9CDB2-522F-4F67-B766-E5D9052CC4D6}" name="Column9" dataDxfId="59"/>
    <tableColumn id="10" xr3:uid="{07C51233-02DF-4A46-9F4D-3398F597B0E8}" name="Column10" dataDxfId="58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364A75-385F-4EF8-BC4D-A3764D59BEFD}" name="Table27" displayName="Table27" ref="D6:M55" totalsRowCount="1" headerRowDxfId="56" dataDxfId="55" headerRowBorderDxfId="53" tableBorderDxfId="54" totalsRowBorderDxfId="52">
  <autoFilter ref="D6:M54" xr:uid="{24A7B5C0-3476-4A3C-B62C-AE5106C0D4F2}"/>
  <tableColumns count="10">
    <tableColumn id="1" xr3:uid="{59A49464-0B90-4391-9F22-8E2DD4D4E03C}" name="Column1" dataDxfId="50" totalsRowDxfId="51"/>
    <tableColumn id="2" xr3:uid="{940052CA-CC91-4053-B9E0-C0D49D2BC79C}" name="Column2" dataDxfId="48" totalsRowDxfId="49"/>
    <tableColumn id="3" xr3:uid="{7595851E-D456-42A6-8C6A-E77FA1665F9F}" name="Column3" dataDxfId="46" totalsRowDxfId="47"/>
    <tableColumn id="4" xr3:uid="{48738C22-3540-43D6-92B3-0C0899CE89AA}" name="Column4" dataDxfId="44" totalsRowDxfId="45"/>
    <tableColumn id="5" xr3:uid="{2A16C505-FA70-443C-A4A2-53BA997758F2}" name="Column5" dataDxfId="42" totalsRowDxfId="43"/>
    <tableColumn id="6" xr3:uid="{BC273F09-6C1D-405B-9C48-BA248F4748AB}" name="Column6" dataDxfId="40" totalsRowDxfId="41"/>
    <tableColumn id="7" xr3:uid="{177EEF2E-CE31-4F27-ABDC-B2079D06771E}" name="Column7" dataDxfId="38" totalsRowDxfId="39"/>
    <tableColumn id="8" xr3:uid="{B29DE4D2-82AD-493A-961C-34ACFD194A47}" name="Column8" totalsRowFunction="custom" dataDxfId="36" totalsRowDxfId="37">
      <totalsRowFormula>SUM(Table27[Column8])</totalsRowFormula>
    </tableColumn>
    <tableColumn id="9" xr3:uid="{A24EBA42-D0B1-4EA7-88E2-FD1311CD845B}" name="Column9" totalsRowFunction="custom" dataDxfId="34" totalsRowDxfId="35">
      <totalsRowFormula>SUM(Table27[Column9])</totalsRowFormula>
    </tableColumn>
    <tableColumn id="10" xr3:uid="{415E8BBC-5FFC-4743-8882-48FEB2594AE5}" name="Column10" totalsRowFunction="custom" dataDxfId="32" totalsRowDxfId="33">
      <totalsRowFormula>SUM(Table27[Column10])</totalsRow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93" dT="2026-04-26T11:23:47.19" personId="{CD38751B-3378-4761-A241-34328C5682A9}" id="{918B065F-DBDA-45B3-9580-D0AD0B3722EF}">
    <text>01-271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47" dT="2026-06-25T05:36:55.59" personId="{CD38751B-3378-4761-A241-34328C5682A9}" id="{F1EF349F-3EB8-4377-B49E-C9F5E7EAEACC}">
    <text>ABDELELAH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6B96-9E36-438F-8D8D-8A44519DC950}">
  <dimension ref="C1:J416"/>
  <sheetViews>
    <sheetView workbookViewId="0">
      <selection activeCell="C6" sqref="C6"/>
    </sheetView>
  </sheetViews>
  <sheetFormatPr defaultColWidth="9.140625" defaultRowHeight="15"/>
  <cols>
    <col min="3" max="3" width="45.28515625" bestFit="1" customWidth="1"/>
    <col min="4" max="4" width="18.7109375" customWidth="1"/>
    <col min="5" max="5" width="17.5703125" customWidth="1"/>
    <col min="6" max="6" width="21.5703125" customWidth="1"/>
    <col min="8" max="8" width="45.28515625" bestFit="1" customWidth="1"/>
    <col min="9" max="9" width="30.140625" customWidth="1"/>
    <col min="10" max="10" width="24.85546875" customWidth="1"/>
    <col min="11" max="12" width="22.85546875" customWidth="1"/>
    <col min="13" max="13" width="21" customWidth="1"/>
  </cols>
  <sheetData>
    <row r="1" spans="3:10" ht="30" customHeight="1"/>
    <row r="2" spans="3:10" ht="14.25" customHeight="1">
      <c r="I2" s="158"/>
      <c r="J2" s="158"/>
    </row>
    <row r="3" spans="3:10" ht="36">
      <c r="C3" s="212" t="s">
        <v>0</v>
      </c>
      <c r="D3" s="213"/>
      <c r="E3" s="213"/>
      <c r="F3" s="214"/>
      <c r="I3" s="158"/>
      <c r="J3" s="158"/>
    </row>
    <row r="4" spans="3:10" ht="20.25" customHeight="1">
      <c r="C4" s="215"/>
      <c r="D4" s="216"/>
      <c r="E4" s="216"/>
      <c r="F4" s="217"/>
    </row>
    <row r="5" spans="3:10" ht="20.25" customHeight="1">
      <c r="C5" s="182" t="s">
        <v>1</v>
      </c>
      <c r="D5" s="182" t="s">
        <v>2</v>
      </c>
      <c r="E5" s="183" t="s">
        <v>3</v>
      </c>
      <c r="F5" s="184" t="s">
        <v>4</v>
      </c>
    </row>
    <row r="6" spans="3:10" ht="20.25" customHeight="1">
      <c r="C6" s="156" t="s">
        <v>5</v>
      </c>
      <c r="D6" s="159">
        <f>BOHL00[[#Totals],[Column8]]</f>
        <v>603</v>
      </c>
      <c r="E6" s="102">
        <f>BOHL00[[#Totals],[Column9]]</f>
        <v>224</v>
      </c>
      <c r="F6" s="160">
        <f>BOHL00[[#Totals],[Column10]]</f>
        <v>379</v>
      </c>
    </row>
    <row r="7" spans="3:10" ht="20.25" customHeight="1">
      <c r="C7" s="156" t="s">
        <v>6</v>
      </c>
      <c r="D7" s="159">
        <f>BOHL01[[#Totals],[Column8]]</f>
        <v>4079</v>
      </c>
      <c r="E7" s="102">
        <f>BOHL01[[#Totals],[Column9]]</f>
        <v>1614</v>
      </c>
      <c r="F7" s="160">
        <f>BOHL01[[#Totals],[Column10]]</f>
        <v>2580</v>
      </c>
    </row>
    <row r="8" spans="3:10" ht="20.25" customHeight="1">
      <c r="C8" s="156" t="s">
        <v>7</v>
      </c>
      <c r="D8" s="159">
        <f>Table25[[#Totals],[Column8]]</f>
        <v>0</v>
      </c>
      <c r="E8" s="102">
        <f>Table25[[#Totals],[Column9]]</f>
        <v>0</v>
      </c>
      <c r="F8" s="160">
        <f>Table25[[#Totals],[Column10]]</f>
        <v>0</v>
      </c>
    </row>
    <row r="9" spans="3:10" ht="20.25" customHeight="1">
      <c r="C9" s="156" t="s">
        <v>8</v>
      </c>
      <c r="D9" s="159">
        <f>'BOH L03'!K45</f>
        <v>0</v>
      </c>
      <c r="E9" s="102">
        <f>'BOH L03'!L45</f>
        <v>0</v>
      </c>
      <c r="F9" s="160">
        <f>'BOH L03'!M45</f>
        <v>0</v>
      </c>
    </row>
    <row r="10" spans="3:10" ht="20.25" customHeight="1">
      <c r="C10" s="156" t="s">
        <v>9</v>
      </c>
      <c r="D10" s="159">
        <f>Table27[[#Totals],[Column8]]</f>
        <v>0</v>
      </c>
      <c r="E10" s="102">
        <f>Table27[[#Totals],[Column9]]</f>
        <v>0</v>
      </c>
      <c r="F10" s="160">
        <f>Table27[[#Totals],[Column10]]</f>
        <v>0</v>
      </c>
    </row>
    <row r="11" spans="3:10" ht="20.25" customHeight="1">
      <c r="C11" s="156" t="s">
        <v>10</v>
      </c>
      <c r="D11" s="159">
        <f>'5th Floor'!L71</f>
        <v>0</v>
      </c>
      <c r="E11" s="102">
        <f>'5th Floor'!M71</f>
        <v>0</v>
      </c>
      <c r="F11" s="160">
        <f>'5th Floor'!N71</f>
        <v>0</v>
      </c>
    </row>
    <row r="12" spans="3:10" ht="20.25" customHeight="1">
      <c r="C12" s="156" t="s">
        <v>11</v>
      </c>
      <c r="D12" s="159">
        <f>'6th Floor'!L28</f>
        <v>0</v>
      </c>
      <c r="E12" s="102">
        <f>'6th Floor'!M28</f>
        <v>0</v>
      </c>
      <c r="F12" s="160">
        <f>'6th Floor'!N28</f>
        <v>0</v>
      </c>
    </row>
    <row r="13" spans="3:10" ht="20.25" customHeight="1">
      <c r="C13" s="156" t="s">
        <v>12</v>
      </c>
      <c r="D13" s="159">
        <f>'LEVEL 4, 5 &amp; 6'!M22</f>
        <v>0</v>
      </c>
      <c r="E13" s="102">
        <f>'LEVEL 4, 5 &amp; 6'!N22</f>
        <v>0</v>
      </c>
      <c r="F13" s="160">
        <f>'LEVEL 4, 5 &amp; 6'!O22</f>
        <v>0</v>
      </c>
    </row>
    <row r="14" spans="3:10" ht="20.25" customHeight="1">
      <c r="C14" s="156" t="s">
        <v>13</v>
      </c>
      <c r="D14" s="159">
        <f>'CAFE MAUDE'!M19</f>
        <v>0</v>
      </c>
      <c r="E14" s="102">
        <f>'CAFE MAUDE'!N19</f>
        <v>0</v>
      </c>
      <c r="F14" s="160">
        <f>'CAFE MAUDE'!O19</f>
        <v>0</v>
      </c>
    </row>
    <row r="15" spans="3:10" ht="20.25" customHeight="1">
      <c r="C15" s="156" t="s">
        <v>14</v>
      </c>
      <c r="D15" s="176"/>
      <c r="E15" s="177"/>
      <c r="F15" s="178"/>
    </row>
    <row r="16" spans="3:10" ht="20.25" customHeight="1">
      <c r="C16" s="156" t="s">
        <v>15</v>
      </c>
      <c r="D16" s="176"/>
      <c r="E16" s="177"/>
      <c r="F16" s="178"/>
    </row>
    <row r="17" spans="3:6" ht="20.25" customHeight="1">
      <c r="C17" s="156" t="s">
        <v>16</v>
      </c>
      <c r="D17" s="176"/>
      <c r="E17" s="177"/>
      <c r="F17" s="178"/>
    </row>
    <row r="18" spans="3:6" ht="20.25" customHeight="1">
      <c r="C18" s="156" t="s">
        <v>17</v>
      </c>
      <c r="D18" s="159">
        <f>'SPA &amp; Fitness'!M88</f>
        <v>0</v>
      </c>
      <c r="E18" s="102">
        <f>'SPA &amp; Fitness'!N88</f>
        <v>0</v>
      </c>
      <c r="F18" s="160">
        <f>'SPA &amp; Fitness'!O88</f>
        <v>0</v>
      </c>
    </row>
    <row r="19" spans="3:6" ht="20.25" customHeight="1">
      <c r="C19" s="156" t="s">
        <v>18</v>
      </c>
      <c r="D19" s="159">
        <f>'MICE AREA'!M34</f>
        <v>0</v>
      </c>
      <c r="E19" s="102">
        <f>'MICE AREA'!N34</f>
        <v>0</v>
      </c>
      <c r="F19" s="160">
        <f>'MICE AREA'!O34</f>
        <v>0</v>
      </c>
    </row>
    <row r="20" spans="3:6" ht="20.25" customHeight="1">
      <c r="C20" s="156" t="s">
        <v>19</v>
      </c>
      <c r="D20" s="176"/>
      <c r="E20" s="177"/>
      <c r="F20" s="178"/>
    </row>
    <row r="21" spans="3:6" ht="20.25" customHeight="1">
      <c r="C21" s="156" t="s">
        <v>20</v>
      </c>
      <c r="D21" s="176"/>
      <c r="E21" s="177"/>
      <c r="F21" s="178"/>
    </row>
    <row r="22" spans="3:6" ht="20.25" customHeight="1">
      <c r="C22" s="156" t="s">
        <v>21</v>
      </c>
      <c r="D22" s="159">
        <f>'Stand Alone Building '!M141</f>
        <v>0</v>
      </c>
      <c r="E22" s="102">
        <f>'Stand Alone Building '!N141</f>
        <v>0</v>
      </c>
      <c r="F22" s="160">
        <f>'Stand Alone Building '!O141</f>
        <v>0</v>
      </c>
    </row>
    <row r="23" spans="3:6" ht="20.25" customHeight="1">
      <c r="C23" s="156" t="s">
        <v>22</v>
      </c>
      <c r="D23" s="159">
        <f>'Guest Room '!J90</f>
        <v>17485</v>
      </c>
      <c r="E23" s="102">
        <f>'Guest Room '!K90</f>
        <v>7645</v>
      </c>
      <c r="F23" s="160">
        <f>'Guest Room '!L90</f>
        <v>9840</v>
      </c>
    </row>
    <row r="24" spans="3:6">
      <c r="C24" s="156" t="s">
        <v>23</v>
      </c>
      <c r="D24" s="176"/>
      <c r="E24" s="177"/>
      <c r="F24" s="178"/>
    </row>
    <row r="25" spans="3:6">
      <c r="C25" s="157" t="s">
        <v>24</v>
      </c>
      <c r="D25" s="179"/>
      <c r="E25" s="180"/>
      <c r="F25" s="181"/>
    </row>
    <row r="404" spans="4:9">
      <c r="D404" s="218" t="s">
        <v>25</v>
      </c>
      <c r="E404" s="219"/>
      <c r="H404" s="209" t="s">
        <v>25</v>
      </c>
      <c r="I404" s="210"/>
    </row>
    <row r="405" spans="4:9">
      <c r="D405" s="220"/>
      <c r="E405" s="221"/>
      <c r="H405" s="115" t="s">
        <v>26</v>
      </c>
      <c r="I405" s="118">
        <f>I406+I407</f>
        <v>382</v>
      </c>
    </row>
    <row r="406" spans="4:9">
      <c r="D406" s="222"/>
      <c r="E406" s="223"/>
      <c r="H406" s="116" t="s">
        <v>27</v>
      </c>
      <c r="I406" s="119">
        <f>'BOH L01'!P73</f>
        <v>201</v>
      </c>
    </row>
    <row r="407" spans="4:9" ht="15.75">
      <c r="D407" s="199" t="s">
        <v>26</v>
      </c>
      <c r="E407" s="200">
        <f>E408+E409</f>
        <v>77</v>
      </c>
      <c r="H407" s="117" t="s">
        <v>28</v>
      </c>
      <c r="I407" s="120">
        <f>'BOH L01'!P74</f>
        <v>181</v>
      </c>
    </row>
    <row r="408" spans="4:9" ht="15.75">
      <c r="D408" s="194" t="s">
        <v>27</v>
      </c>
      <c r="E408" s="196">
        <f>'BOH L00'!P55</f>
        <v>52</v>
      </c>
    </row>
    <row r="409" spans="4:9" ht="15.75">
      <c r="D409" s="195" t="s">
        <v>28</v>
      </c>
      <c r="E409" s="197">
        <f>'BOH L00'!P56</f>
        <v>25</v>
      </c>
    </row>
    <row r="410" spans="4:9">
      <c r="H410" s="209" t="s">
        <v>29</v>
      </c>
      <c r="I410" s="210"/>
    </row>
    <row r="411" spans="4:9">
      <c r="D411" s="218" t="s">
        <v>29</v>
      </c>
      <c r="E411" s="219"/>
      <c r="H411" s="115" t="s">
        <v>26</v>
      </c>
      <c r="I411" s="118">
        <f>I412+I413</f>
        <v>382</v>
      </c>
    </row>
    <row r="412" spans="4:9">
      <c r="D412" s="220"/>
      <c r="E412" s="221"/>
      <c r="H412" s="116" t="s">
        <v>27</v>
      </c>
      <c r="I412" s="119">
        <f>'BOH L01'!S73</f>
        <v>165</v>
      </c>
    </row>
    <row r="413" spans="4:9">
      <c r="D413" s="222"/>
      <c r="E413" s="223"/>
      <c r="H413" s="117" t="s">
        <v>28</v>
      </c>
      <c r="I413" s="120">
        <f>'BOH L01'!S74</f>
        <v>217</v>
      </c>
    </row>
    <row r="414" spans="4:9">
      <c r="D414" s="127" t="s">
        <v>26</v>
      </c>
      <c r="E414" s="128">
        <f>E415+E416</f>
        <v>77</v>
      </c>
    </row>
    <row r="415" spans="4:9">
      <c r="D415" s="116" t="s">
        <v>27</v>
      </c>
      <c r="E415" s="119">
        <f>'BOH L00'!S55</f>
        <v>21</v>
      </c>
    </row>
    <row r="416" spans="4:9">
      <c r="D416" s="117" t="s">
        <v>28</v>
      </c>
      <c r="E416" s="120">
        <f>'BOH L00'!S56</f>
        <v>56</v>
      </c>
    </row>
  </sheetData>
  <mergeCells count="5">
    <mergeCell ref="C3:F4"/>
    <mergeCell ref="D404:E406"/>
    <mergeCell ref="D411:E413"/>
    <mergeCell ref="H404:I404"/>
    <mergeCell ref="H410:I410"/>
  </mergeCells>
  <conditionalFormatting sqref="C6:F25">
    <cfRule type="expression" dxfId="202" priority="1">
      <formula>MOD(ROW(),2)=1</formula>
    </cfRule>
  </conditionalFormatting>
  <hyperlinks>
    <hyperlink ref="C6" location="BOHL00" display="BOH L00" xr:uid="{D058DC9E-CE90-4CA2-B594-1375F7D72270}"/>
    <hyperlink ref="C7" location="BOHL01" display="BOH L01" xr:uid="{7B7F34AD-F4C8-4AB8-9917-CFB81F38E20E}"/>
    <hyperlink ref="C8" location="BOHL02" display="BOH L02" xr:uid="{98FCC12B-E92C-4920-A054-29413619ABD7}"/>
    <hyperlink ref="C9" location="BOHL03" display="BOH L03" xr:uid="{9A497CDB-755A-4087-8EC9-F2AD45E4CA47}"/>
    <hyperlink ref="C10" location="BOHL04" display="BOH L04" xr:uid="{67871E5E-13E5-453C-B4EC-EC7E1C3B33CE}"/>
    <hyperlink ref="C11" location="FIFTH" display="5th Floor" xr:uid="{DF526411-8BDC-45B3-AE20-9668E4256FCF}"/>
    <hyperlink ref="C12" location="SIXTH" display="6th Floor" xr:uid="{B25444B2-5DD6-449E-AA33-E6253F3131B3}"/>
    <hyperlink ref="C13" location="LEVELS" display="LEVEL 4, 5 &amp; 6" xr:uid="{367E293E-3853-4E91-9D1D-1790EE53D0B0}"/>
    <hyperlink ref="C14" location="CAFEMAUDE" display="CAFE MAUDE" xr:uid="{E6CFA8AD-2895-4621-8A1D-7F092BBF6E7C}"/>
    <hyperlink ref="C15" location="EMBERS" display="EMBERS" xr:uid="{863BB098-8541-4E16-AB3F-5A191D5D504D}"/>
    <hyperlink ref="C16" location="AMALFIPOOL" display="AMALFI POOL" xr:uid="{913C5AEB-07E8-4B4A-906C-87C73C00C866}"/>
    <hyperlink ref="C17" location="RECREATION" display="RECREATION DRIFT POOLBAR &amp; GRILL" xr:uid="{418ED849-FFD1-4B25-8261-28E6022B3124}"/>
    <hyperlink ref="C18" location="SPAFITNESS" display="SPA &amp; Fitness" xr:uid="{3CB497D1-EC6C-46D0-8435-090A80AB7453}"/>
    <hyperlink ref="C19" location="MICEAREA" display="MICE AREA" xr:uid="{E0CF0711-FFA3-4B3B-A553-93797400A4F6}"/>
    <hyperlink ref="C20" location="ARRIVAL" display="ARRIVAL (RECEPTION)" xr:uid="{943E4A64-0F10-42EB-B8D5-8311B00B10AE}"/>
    <hyperlink ref="C21" location="FUNICULAR" display="FUNICULAR" xr:uid="{FA254660-CED2-4B2C-87AA-D38E5450223C}"/>
    <hyperlink ref="C22" location="STANDALONE" display="Stand Alone Building " xr:uid="{3716EE4E-86B0-4640-8835-F282D0EF5025}"/>
    <hyperlink ref="C23" location="GUESTROOM" display="Guest Room " xr:uid="{E11AFE91-D0D0-4B76-8073-13C29B3615C1}"/>
    <hyperlink ref="C24" location="ROOMNOCLUSTERS" display="ROOM NO &amp; CLUSTERS" xr:uid="{DC634608-E565-4D8C-8264-9EE934FFE41C}"/>
    <hyperlink ref="C25" location="KITCHEN" display="Kitchen and Storage" xr:uid="{A504AB9C-E01C-49E9-8566-ACD335157C0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92"/>
  <sheetViews>
    <sheetView topLeftCell="I16" workbookViewId="0">
      <selection activeCell="O10" sqref="O10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31.28515625" style="81" customWidth="1"/>
    <col min="15" max="15" width="22" customWidth="1"/>
    <col min="16" max="16" width="29.5703125" customWidth="1"/>
    <col min="17" max="17" width="28.5703125" customWidth="1"/>
    <col min="19" max="19" width="18.42578125" style="81" hidden="1" customWidth="1"/>
  </cols>
  <sheetData>
    <row r="2" spans="2:19" ht="37.5" customHeight="1">
      <c r="B2" s="211" t="s">
        <v>30</v>
      </c>
      <c r="C2" s="211"/>
    </row>
    <row r="5" spans="2:19" ht="58.5" customHeight="1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N5" s="209" t="s">
        <v>25</v>
      </c>
      <c r="O5" s="224"/>
      <c r="P5" s="209" t="s">
        <v>29</v>
      </c>
      <c r="Q5" s="210"/>
      <c r="S5" s="104" t="s">
        <v>38</v>
      </c>
    </row>
    <row r="6" spans="2:19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S6" s="101"/>
    </row>
    <row r="7" spans="2:19">
      <c r="B7" s="124"/>
      <c r="C7" s="50"/>
      <c r="D7" s="25" t="s">
        <v>49</v>
      </c>
      <c r="E7" s="26" t="s">
        <v>50</v>
      </c>
      <c r="F7" s="27" t="b">
        <v>0</v>
      </c>
      <c r="G7" s="27" t="b">
        <v>0</v>
      </c>
      <c r="H7" s="13" t="b">
        <v>0</v>
      </c>
      <c r="I7" s="13" t="b">
        <v>0</v>
      </c>
      <c r="J7" s="13" t="b">
        <v>0</v>
      </c>
      <c r="K7" s="105"/>
      <c r="L7" s="105">
        <f t="shared" ref="L7:L70" si="0">K7-M7</f>
        <v>0</v>
      </c>
      <c r="M7" s="112"/>
      <c r="S7" s="102" t="s">
        <v>51</v>
      </c>
    </row>
    <row r="8" spans="2:19">
      <c r="B8" s="125"/>
      <c r="C8" s="16"/>
      <c r="D8" s="25" t="s">
        <v>52</v>
      </c>
      <c r="E8" s="26" t="s">
        <v>50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76"/>
      <c r="L8" s="105">
        <f t="shared" si="0"/>
        <v>0</v>
      </c>
      <c r="M8" s="113"/>
      <c r="N8" s="115" t="s">
        <v>26</v>
      </c>
      <c r="O8" s="118">
        <f>O9+O10</f>
        <v>77</v>
      </c>
      <c r="S8" s="102" t="s">
        <v>53</v>
      </c>
    </row>
    <row r="9" spans="2:19" ht="27">
      <c r="B9" s="125">
        <v>46051</v>
      </c>
      <c r="C9" s="16" t="s">
        <v>53</v>
      </c>
      <c r="D9" s="25" t="s">
        <v>54</v>
      </c>
      <c r="E9" s="26" t="s">
        <v>55</v>
      </c>
      <c r="F9" s="13" t="b">
        <v>1</v>
      </c>
      <c r="G9" s="13" t="b">
        <v>1</v>
      </c>
      <c r="H9" s="13" t="b">
        <v>0</v>
      </c>
      <c r="I9" s="13" t="b">
        <v>0</v>
      </c>
      <c r="J9" s="13" t="b">
        <v>0</v>
      </c>
      <c r="K9" s="105">
        <v>9</v>
      </c>
      <c r="L9" s="105">
        <f>K9-M9</f>
        <v>3</v>
      </c>
      <c r="M9" s="112">
        <v>6</v>
      </c>
      <c r="N9" s="116" t="s">
        <v>27</v>
      </c>
      <c r="O9" s="119">
        <f>COUNTIFS(F7:F83,TRUE)</f>
        <v>47</v>
      </c>
      <c r="P9" s="115" t="s">
        <v>26</v>
      </c>
      <c r="Q9" s="118">
        <f>Q10+Q11</f>
        <v>77</v>
      </c>
      <c r="S9" s="102" t="s">
        <v>56</v>
      </c>
    </row>
    <row r="10" spans="2:19">
      <c r="B10" s="125">
        <v>46051</v>
      </c>
      <c r="C10" s="16" t="s">
        <v>53</v>
      </c>
      <c r="D10" s="109" t="s">
        <v>57</v>
      </c>
      <c r="E10" s="26" t="s">
        <v>58</v>
      </c>
      <c r="F10" s="13" t="b">
        <v>1</v>
      </c>
      <c r="G10" s="13" t="b">
        <v>0</v>
      </c>
      <c r="H10" s="13" t="b">
        <v>0</v>
      </c>
      <c r="I10" s="13" t="b">
        <v>0</v>
      </c>
      <c r="J10" s="13" t="b">
        <v>0</v>
      </c>
      <c r="K10" s="76">
        <v>3</v>
      </c>
      <c r="L10" s="105">
        <f t="shared" si="0"/>
        <v>0</v>
      </c>
      <c r="M10" s="113">
        <v>3</v>
      </c>
      <c r="N10" s="117" t="s">
        <v>28</v>
      </c>
      <c r="O10" s="120">
        <f>COUNTIFS(F7:F83,FALSE)</f>
        <v>30</v>
      </c>
      <c r="P10" s="116" t="s">
        <v>27</v>
      </c>
      <c r="Q10" s="119">
        <f>COUNTIFS(G8:G84,TRUE)</f>
        <v>21</v>
      </c>
      <c r="S10" s="102" t="s">
        <v>59</v>
      </c>
    </row>
    <row r="11" spans="2:19" ht="27">
      <c r="B11" s="125">
        <v>46051</v>
      </c>
      <c r="C11" s="16" t="s">
        <v>53</v>
      </c>
      <c r="D11" s="25" t="s">
        <v>60</v>
      </c>
      <c r="E11" s="26" t="s">
        <v>61</v>
      </c>
      <c r="F11" s="13" t="b">
        <v>1</v>
      </c>
      <c r="G11" s="13" t="b">
        <v>1</v>
      </c>
      <c r="H11" s="13" t="b">
        <v>0</v>
      </c>
      <c r="I11" s="13" t="b">
        <v>0</v>
      </c>
      <c r="J11" s="13" t="b">
        <v>0</v>
      </c>
      <c r="K11" s="105">
        <v>13</v>
      </c>
      <c r="L11" s="105">
        <f t="shared" si="0"/>
        <v>7</v>
      </c>
      <c r="M11" s="112">
        <v>6</v>
      </c>
      <c r="P11" s="117" t="s">
        <v>28</v>
      </c>
      <c r="Q11" s="120">
        <f>COUNTIFS(G8:G84,FALSE)</f>
        <v>56</v>
      </c>
      <c r="S11" s="102" t="s">
        <v>62</v>
      </c>
    </row>
    <row r="12" spans="2:19">
      <c r="B12" s="125">
        <v>46051</v>
      </c>
      <c r="C12" s="16" t="s">
        <v>63</v>
      </c>
      <c r="D12" s="109" t="s">
        <v>64</v>
      </c>
      <c r="E12" s="26" t="s">
        <v>65</v>
      </c>
      <c r="F12" s="13" t="b">
        <v>1</v>
      </c>
      <c r="G12" s="13" t="b">
        <v>0</v>
      </c>
      <c r="H12" s="13" t="b">
        <v>0</v>
      </c>
      <c r="I12" s="13" t="b">
        <v>0</v>
      </c>
      <c r="J12" s="13" t="b">
        <v>0</v>
      </c>
      <c r="K12" s="76">
        <v>5</v>
      </c>
      <c r="L12" s="105">
        <f t="shared" si="0"/>
        <v>3</v>
      </c>
      <c r="M12" s="113">
        <v>2</v>
      </c>
      <c r="S12" s="102" t="s">
        <v>66</v>
      </c>
    </row>
    <row r="13" spans="2:19">
      <c r="B13" s="125">
        <v>46051</v>
      </c>
      <c r="C13" s="16" t="s">
        <v>53</v>
      </c>
      <c r="D13" s="25" t="s">
        <v>67</v>
      </c>
      <c r="E13" s="26" t="s">
        <v>68</v>
      </c>
      <c r="F13" s="13" t="b">
        <v>1</v>
      </c>
      <c r="G13" s="13" t="b">
        <v>1</v>
      </c>
      <c r="H13" s="13" t="b">
        <v>0</v>
      </c>
      <c r="I13" s="13" t="b">
        <v>0</v>
      </c>
      <c r="J13" s="13" t="b">
        <v>0</v>
      </c>
      <c r="K13" s="105">
        <v>5</v>
      </c>
      <c r="L13" s="105">
        <f t="shared" si="0"/>
        <v>0</v>
      </c>
      <c r="M13" s="112">
        <v>5</v>
      </c>
      <c r="S13" s="102" t="s">
        <v>69</v>
      </c>
    </row>
    <row r="14" spans="2:19">
      <c r="B14" s="125">
        <v>46051</v>
      </c>
      <c r="C14" s="16" t="s">
        <v>63</v>
      </c>
      <c r="D14" s="25" t="s">
        <v>70</v>
      </c>
      <c r="E14" s="26" t="s">
        <v>71</v>
      </c>
      <c r="F14" s="13" t="b">
        <v>1</v>
      </c>
      <c r="G14" s="13" t="b">
        <v>0</v>
      </c>
      <c r="H14" s="13" t="b">
        <v>0</v>
      </c>
      <c r="I14" s="13" t="b">
        <v>0</v>
      </c>
      <c r="J14" s="13" t="b">
        <v>0</v>
      </c>
      <c r="K14" s="76">
        <v>6</v>
      </c>
      <c r="L14" s="105">
        <f t="shared" si="0"/>
        <v>4</v>
      </c>
      <c r="M14" s="76">
        <v>2</v>
      </c>
      <c r="S14" s="102" t="s">
        <v>72</v>
      </c>
    </row>
    <row r="15" spans="2:19">
      <c r="B15" s="125">
        <v>46051</v>
      </c>
      <c r="C15" s="16" t="s">
        <v>63</v>
      </c>
      <c r="D15" s="109" t="s">
        <v>73</v>
      </c>
      <c r="E15" s="26" t="s">
        <v>74</v>
      </c>
      <c r="F15" s="13" t="b">
        <v>1</v>
      </c>
      <c r="G15" s="13" t="b">
        <v>0</v>
      </c>
      <c r="H15" s="13" t="b">
        <v>0</v>
      </c>
      <c r="I15" s="13" t="b">
        <v>0</v>
      </c>
      <c r="J15" s="13" t="b">
        <v>0</v>
      </c>
      <c r="K15" s="105">
        <v>5</v>
      </c>
      <c r="L15" s="105">
        <f t="shared" si="0"/>
        <v>2</v>
      </c>
      <c r="M15" s="105">
        <v>3</v>
      </c>
      <c r="S15" s="102" t="s">
        <v>75</v>
      </c>
    </row>
    <row r="16" spans="2:19">
      <c r="B16" s="125">
        <v>46051</v>
      </c>
      <c r="C16" s="16" t="s">
        <v>63</v>
      </c>
      <c r="D16" s="109" t="s">
        <v>76</v>
      </c>
      <c r="E16" s="26" t="s">
        <v>77</v>
      </c>
      <c r="F16" s="13" t="b">
        <v>1</v>
      </c>
      <c r="G16" s="13" t="b">
        <v>0</v>
      </c>
      <c r="H16" s="13" t="b">
        <v>0</v>
      </c>
      <c r="I16" s="13" t="b">
        <v>0</v>
      </c>
      <c r="J16" s="13" t="b">
        <v>0</v>
      </c>
      <c r="K16" s="76">
        <v>1</v>
      </c>
      <c r="L16" s="105">
        <f t="shared" si="0"/>
        <v>0</v>
      </c>
      <c r="M16" s="76">
        <v>1</v>
      </c>
      <c r="S16" s="102" t="s">
        <v>78</v>
      </c>
    </row>
    <row r="17" spans="2:19">
      <c r="B17" s="125"/>
      <c r="C17" s="16"/>
      <c r="D17" s="25" t="s">
        <v>79</v>
      </c>
      <c r="E17" s="26" t="s">
        <v>80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05"/>
      <c r="L17" s="105">
        <f t="shared" si="0"/>
        <v>0</v>
      </c>
      <c r="M17" s="105"/>
      <c r="S17" s="102" t="s">
        <v>81</v>
      </c>
    </row>
    <row r="18" spans="2:19">
      <c r="B18" s="125"/>
      <c r="C18" s="16"/>
      <c r="D18" s="25" t="s">
        <v>82</v>
      </c>
      <c r="E18" s="26" t="s">
        <v>83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76"/>
      <c r="L18" s="105">
        <f t="shared" si="0"/>
        <v>0</v>
      </c>
      <c r="M18" s="76"/>
      <c r="S18" s="102" t="s">
        <v>63</v>
      </c>
    </row>
    <row r="19" spans="2:19">
      <c r="B19" s="125"/>
      <c r="C19" s="16"/>
      <c r="D19" s="25" t="s">
        <v>84</v>
      </c>
      <c r="E19" s="26" t="s">
        <v>80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05"/>
      <c r="L19" s="105">
        <f t="shared" si="0"/>
        <v>0</v>
      </c>
      <c r="M19" s="105"/>
      <c r="S19" s="102" t="s">
        <v>85</v>
      </c>
    </row>
    <row r="20" spans="2:19">
      <c r="B20" s="125"/>
      <c r="C20" s="16"/>
      <c r="D20" s="25" t="s">
        <v>86</v>
      </c>
      <c r="E20" s="26" t="s">
        <v>87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76"/>
      <c r="L20" s="105">
        <f t="shared" si="0"/>
        <v>0</v>
      </c>
      <c r="M20" s="76"/>
      <c r="S20" s="102" t="s">
        <v>88</v>
      </c>
    </row>
    <row r="21" spans="2:19">
      <c r="B21" s="125">
        <v>46048</v>
      </c>
      <c r="C21" s="16" t="s">
        <v>66</v>
      </c>
      <c r="D21" s="25" t="s">
        <v>89</v>
      </c>
      <c r="E21" s="26" t="s">
        <v>90</v>
      </c>
      <c r="F21" s="13" t="b">
        <v>1</v>
      </c>
      <c r="G21" s="13" t="b">
        <v>0</v>
      </c>
      <c r="H21" s="13" t="b">
        <v>0</v>
      </c>
      <c r="I21" s="13" t="b">
        <v>0</v>
      </c>
      <c r="J21" s="13" t="b">
        <v>0</v>
      </c>
      <c r="K21" s="105">
        <v>12</v>
      </c>
      <c r="L21" s="105">
        <f t="shared" si="0"/>
        <v>1</v>
      </c>
      <c r="M21" s="105">
        <v>11</v>
      </c>
      <c r="S21" s="102" t="s">
        <v>91</v>
      </c>
    </row>
    <row r="22" spans="2:19">
      <c r="B22" s="125">
        <v>46048</v>
      </c>
      <c r="C22" s="16" t="s">
        <v>66</v>
      </c>
      <c r="D22" s="25" t="s">
        <v>92</v>
      </c>
      <c r="E22" s="26" t="s">
        <v>93</v>
      </c>
      <c r="F22" s="13" t="b">
        <v>1</v>
      </c>
      <c r="G22" s="13" t="b">
        <v>0</v>
      </c>
      <c r="H22" s="13" t="b">
        <v>0</v>
      </c>
      <c r="I22" s="13" t="b">
        <v>0</v>
      </c>
      <c r="J22" s="13" t="b">
        <v>0</v>
      </c>
      <c r="K22" s="76">
        <v>11</v>
      </c>
      <c r="L22" s="105">
        <f t="shared" si="0"/>
        <v>2</v>
      </c>
      <c r="M22" s="76">
        <v>9</v>
      </c>
      <c r="S22" s="102" t="s">
        <v>94</v>
      </c>
    </row>
    <row r="23" spans="2:19">
      <c r="B23" s="125">
        <v>46121</v>
      </c>
      <c r="C23" s="16" t="s">
        <v>63</v>
      </c>
      <c r="D23" s="109" t="s">
        <v>95</v>
      </c>
      <c r="E23" s="26" t="s">
        <v>58</v>
      </c>
      <c r="F23" s="13" t="b">
        <v>1</v>
      </c>
      <c r="G23" s="13" t="b">
        <v>0</v>
      </c>
      <c r="H23" s="13" t="b">
        <v>0</v>
      </c>
      <c r="I23" s="13" t="b">
        <v>0</v>
      </c>
      <c r="J23" s="13" t="b">
        <v>0</v>
      </c>
      <c r="K23" s="105">
        <v>4</v>
      </c>
      <c r="L23" s="105">
        <f t="shared" si="0"/>
        <v>4</v>
      </c>
      <c r="M23" s="105"/>
      <c r="S23" s="102" t="s">
        <v>96</v>
      </c>
    </row>
    <row r="24" spans="2:19">
      <c r="B24" s="125">
        <v>46121</v>
      </c>
      <c r="C24" s="16" t="s">
        <v>85</v>
      </c>
      <c r="D24" s="25" t="s">
        <v>97</v>
      </c>
      <c r="E24" s="26" t="s">
        <v>98</v>
      </c>
      <c r="F24" s="13" t="b">
        <v>1</v>
      </c>
      <c r="G24" s="13" t="b">
        <v>0</v>
      </c>
      <c r="H24" s="13" t="b">
        <v>0</v>
      </c>
      <c r="I24" s="13" t="b">
        <v>0</v>
      </c>
      <c r="J24" s="13" t="b">
        <v>0</v>
      </c>
      <c r="K24" s="76">
        <v>11</v>
      </c>
      <c r="L24" s="105">
        <f t="shared" si="0"/>
        <v>11</v>
      </c>
      <c r="M24" s="76"/>
      <c r="S24" s="102"/>
    </row>
    <row r="25" spans="2:19">
      <c r="B25" s="125"/>
      <c r="C25" s="16"/>
      <c r="D25" s="25" t="s">
        <v>99</v>
      </c>
      <c r="E25" s="26" t="s">
        <v>100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05"/>
      <c r="L25" s="105">
        <f t="shared" si="0"/>
        <v>0</v>
      </c>
      <c r="M25" s="105"/>
      <c r="S25" s="102"/>
    </row>
    <row r="26" spans="2:19">
      <c r="B26" s="125">
        <v>46048</v>
      </c>
      <c r="C26" s="16" t="s">
        <v>85</v>
      </c>
      <c r="D26" s="109" t="s">
        <v>101</v>
      </c>
      <c r="E26" s="26" t="s">
        <v>65</v>
      </c>
      <c r="F26" s="13" t="b">
        <v>1</v>
      </c>
      <c r="G26" s="13" t="b">
        <v>0</v>
      </c>
      <c r="H26" s="13" t="b">
        <v>0</v>
      </c>
      <c r="I26" s="13" t="b">
        <v>0</v>
      </c>
      <c r="J26" s="13" t="b">
        <v>0</v>
      </c>
      <c r="K26" s="76">
        <v>4</v>
      </c>
      <c r="L26" s="105">
        <f t="shared" si="0"/>
        <v>4</v>
      </c>
      <c r="M26" s="76"/>
      <c r="S26" s="102"/>
    </row>
    <row r="27" spans="2:19">
      <c r="B27" s="125">
        <v>46121</v>
      </c>
      <c r="C27" s="16" t="s">
        <v>85</v>
      </c>
      <c r="D27" s="25" t="s">
        <v>102</v>
      </c>
      <c r="E27" s="26" t="s">
        <v>65</v>
      </c>
      <c r="F27" s="13" t="b">
        <v>1</v>
      </c>
      <c r="G27" s="13" t="b">
        <v>0</v>
      </c>
      <c r="H27" s="13" t="b">
        <v>0</v>
      </c>
      <c r="I27" s="13" t="b">
        <v>0</v>
      </c>
      <c r="J27" s="13" t="b">
        <v>0</v>
      </c>
      <c r="K27" s="105">
        <v>12</v>
      </c>
      <c r="L27" s="105">
        <f t="shared" si="0"/>
        <v>12</v>
      </c>
      <c r="M27" s="105"/>
      <c r="S27" s="102"/>
    </row>
    <row r="28" spans="2:19">
      <c r="B28" s="125"/>
      <c r="C28" s="16"/>
      <c r="D28" s="25" t="s">
        <v>103</v>
      </c>
      <c r="E28" s="26" t="s">
        <v>50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76"/>
      <c r="L28" s="105">
        <f t="shared" si="0"/>
        <v>0</v>
      </c>
      <c r="M28" s="76"/>
      <c r="S28" s="102"/>
    </row>
    <row r="29" spans="2:19">
      <c r="B29" s="125">
        <v>46121</v>
      </c>
      <c r="C29" s="16" t="s">
        <v>66</v>
      </c>
      <c r="D29" s="25" t="s">
        <v>104</v>
      </c>
      <c r="E29" s="26" t="s">
        <v>93</v>
      </c>
      <c r="F29" s="13" t="b">
        <v>1</v>
      </c>
      <c r="G29" s="13" t="b">
        <v>0</v>
      </c>
      <c r="H29" s="13" t="b">
        <v>0</v>
      </c>
      <c r="I29" s="13" t="b">
        <v>0</v>
      </c>
      <c r="J29" s="13" t="b">
        <v>0</v>
      </c>
      <c r="K29" s="105">
        <v>23</v>
      </c>
      <c r="L29" s="105">
        <f t="shared" si="0"/>
        <v>23</v>
      </c>
      <c r="M29" s="105"/>
      <c r="S29" s="102"/>
    </row>
    <row r="30" spans="2:19">
      <c r="B30" s="125">
        <v>46124</v>
      </c>
      <c r="C30" s="16" t="s">
        <v>85</v>
      </c>
      <c r="D30" s="25" t="s">
        <v>105</v>
      </c>
      <c r="E30" s="26" t="s">
        <v>90</v>
      </c>
      <c r="F30" s="13" t="b">
        <v>1</v>
      </c>
      <c r="G30" s="13" t="b">
        <v>0</v>
      </c>
      <c r="H30" s="13" t="b">
        <v>0</v>
      </c>
      <c r="I30" s="13" t="b">
        <v>0</v>
      </c>
      <c r="J30" s="13" t="b">
        <v>0</v>
      </c>
      <c r="K30" s="76">
        <v>13</v>
      </c>
      <c r="L30" s="105">
        <f t="shared" si="0"/>
        <v>13</v>
      </c>
      <c r="M30" s="76"/>
      <c r="S30" s="102"/>
    </row>
    <row r="31" spans="2:19">
      <c r="B31" s="125"/>
      <c r="C31" s="16"/>
      <c r="D31" s="25" t="s">
        <v>106</v>
      </c>
      <c r="E31" s="26" t="s">
        <v>50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05"/>
      <c r="L31" s="105">
        <f t="shared" si="0"/>
        <v>0</v>
      </c>
      <c r="M31" s="105"/>
      <c r="S31" s="102"/>
    </row>
    <row r="32" spans="2:19">
      <c r="B32" s="125">
        <v>46051</v>
      </c>
      <c r="C32" s="16" t="s">
        <v>107</v>
      </c>
      <c r="D32" s="25" t="s">
        <v>108</v>
      </c>
      <c r="E32" s="26" t="s">
        <v>58</v>
      </c>
      <c r="F32" s="13" t="b">
        <v>1</v>
      </c>
      <c r="G32" s="13" t="b">
        <v>1</v>
      </c>
      <c r="H32" s="13" t="b">
        <v>0</v>
      </c>
      <c r="I32" s="13" t="b">
        <v>0</v>
      </c>
      <c r="J32" s="13" t="b">
        <v>0</v>
      </c>
      <c r="K32" s="76">
        <v>6</v>
      </c>
      <c r="L32" s="105">
        <f t="shared" si="0"/>
        <v>0</v>
      </c>
      <c r="M32" s="76">
        <v>6</v>
      </c>
      <c r="S32" s="102"/>
    </row>
    <row r="33" spans="2:19" ht="27">
      <c r="B33" s="125">
        <v>46026</v>
      </c>
      <c r="C33" s="16" t="s">
        <v>51</v>
      </c>
      <c r="D33" s="25" t="s">
        <v>109</v>
      </c>
      <c r="E33" s="26" t="s">
        <v>55</v>
      </c>
      <c r="F33" s="13" t="b">
        <v>1</v>
      </c>
      <c r="G33" s="13" t="b">
        <v>1</v>
      </c>
      <c r="H33" s="13" t="b">
        <v>0</v>
      </c>
      <c r="I33" s="13" t="b">
        <v>0</v>
      </c>
      <c r="J33" s="13" t="b">
        <v>0</v>
      </c>
      <c r="K33" s="105">
        <v>21</v>
      </c>
      <c r="L33" s="105">
        <f t="shared" si="0"/>
        <v>4</v>
      </c>
      <c r="M33" s="105">
        <v>17</v>
      </c>
      <c r="S33" s="102"/>
    </row>
    <row r="34" spans="2:19" ht="27">
      <c r="B34" s="125">
        <v>46026</v>
      </c>
      <c r="C34" s="16" t="s">
        <v>51</v>
      </c>
      <c r="D34" s="25" t="s">
        <v>110</v>
      </c>
      <c r="E34" s="26" t="s">
        <v>61</v>
      </c>
      <c r="F34" s="13" t="b">
        <v>1</v>
      </c>
      <c r="G34" s="13" t="b">
        <v>1</v>
      </c>
      <c r="H34" s="13" t="b">
        <v>0</v>
      </c>
      <c r="I34" s="13" t="b">
        <v>0</v>
      </c>
      <c r="J34" s="13" t="b">
        <v>0</v>
      </c>
      <c r="K34" s="76">
        <v>36</v>
      </c>
      <c r="L34" s="105">
        <f t="shared" si="0"/>
        <v>9</v>
      </c>
      <c r="M34" s="76">
        <v>27</v>
      </c>
      <c r="S34" s="102"/>
    </row>
    <row r="35" spans="2:19">
      <c r="B35" s="125">
        <v>46048</v>
      </c>
      <c r="C35" s="16" t="s">
        <v>69</v>
      </c>
      <c r="D35" s="25" t="s">
        <v>111</v>
      </c>
      <c r="E35" s="26" t="s">
        <v>65</v>
      </c>
      <c r="F35" s="13" t="b">
        <v>1</v>
      </c>
      <c r="G35" s="13" t="b">
        <v>1</v>
      </c>
      <c r="H35" s="13" t="b">
        <v>0</v>
      </c>
      <c r="I35" s="13" t="b">
        <v>0</v>
      </c>
      <c r="J35" s="13" t="b">
        <v>0</v>
      </c>
      <c r="K35" s="105">
        <v>7</v>
      </c>
      <c r="L35" s="105">
        <f t="shared" si="0"/>
        <v>0</v>
      </c>
      <c r="M35" s="105">
        <v>7</v>
      </c>
      <c r="S35" s="102"/>
    </row>
    <row r="36" spans="2:19">
      <c r="B36" s="125">
        <v>46027</v>
      </c>
      <c r="C36" s="16" t="s">
        <v>66</v>
      </c>
      <c r="D36" s="25" t="s">
        <v>112</v>
      </c>
      <c r="E36" s="26" t="s">
        <v>113</v>
      </c>
      <c r="F36" s="13" t="b">
        <v>1</v>
      </c>
      <c r="G36" s="13" t="b">
        <v>1</v>
      </c>
      <c r="H36" s="13" t="b">
        <v>0</v>
      </c>
      <c r="I36" s="13" t="b">
        <v>0</v>
      </c>
      <c r="J36" s="13" t="b">
        <v>0</v>
      </c>
      <c r="K36" s="76">
        <v>16</v>
      </c>
      <c r="L36" s="105">
        <f t="shared" si="0"/>
        <v>0</v>
      </c>
      <c r="M36" s="76">
        <v>16</v>
      </c>
      <c r="S36" s="102"/>
    </row>
    <row r="37" spans="2:19">
      <c r="B37" s="125">
        <v>46026</v>
      </c>
      <c r="C37" s="16" t="s">
        <v>51</v>
      </c>
      <c r="D37" s="25" t="s">
        <v>114</v>
      </c>
      <c r="E37" s="26" t="s">
        <v>71</v>
      </c>
      <c r="F37" s="13" t="b">
        <v>1</v>
      </c>
      <c r="G37" s="13" t="b">
        <v>1</v>
      </c>
      <c r="H37" s="13" t="b">
        <v>0</v>
      </c>
      <c r="I37" s="13" t="b">
        <v>0</v>
      </c>
      <c r="J37" s="13" t="b">
        <v>0</v>
      </c>
      <c r="K37" s="105">
        <v>12</v>
      </c>
      <c r="L37" s="105">
        <f t="shared" si="0"/>
        <v>1</v>
      </c>
      <c r="M37" s="105">
        <v>11</v>
      </c>
      <c r="S37" s="102"/>
    </row>
    <row r="38" spans="2:19">
      <c r="B38" s="125">
        <v>46027</v>
      </c>
      <c r="C38" s="16" t="s">
        <v>66</v>
      </c>
      <c r="D38" s="25" t="s">
        <v>115</v>
      </c>
      <c r="E38" s="26" t="s">
        <v>74</v>
      </c>
      <c r="F38" s="13" t="b">
        <v>1</v>
      </c>
      <c r="G38" s="13" t="b">
        <v>1</v>
      </c>
      <c r="H38" s="13" t="b">
        <v>0</v>
      </c>
      <c r="I38" s="13" t="b">
        <v>0</v>
      </c>
      <c r="J38" s="13" t="b">
        <v>0</v>
      </c>
      <c r="K38" s="76">
        <v>6</v>
      </c>
      <c r="L38" s="105">
        <f t="shared" si="0"/>
        <v>0</v>
      </c>
      <c r="M38" s="76">
        <v>6</v>
      </c>
      <c r="S38" s="102"/>
    </row>
    <row r="39" spans="2:19">
      <c r="B39" s="125">
        <v>46027</v>
      </c>
      <c r="C39" s="16" t="s">
        <v>66</v>
      </c>
      <c r="D39" s="25" t="s">
        <v>116</v>
      </c>
      <c r="E39" s="26" t="s">
        <v>77</v>
      </c>
      <c r="F39" s="13" t="b">
        <v>1</v>
      </c>
      <c r="G39" s="13" t="b">
        <v>1</v>
      </c>
      <c r="H39" s="13" t="b">
        <v>0</v>
      </c>
      <c r="I39" s="13" t="b">
        <v>0</v>
      </c>
      <c r="J39" s="13" t="b">
        <v>0</v>
      </c>
      <c r="K39" s="105">
        <v>9</v>
      </c>
      <c r="L39" s="105">
        <f t="shared" si="0"/>
        <v>2</v>
      </c>
      <c r="M39" s="105">
        <v>7</v>
      </c>
      <c r="S39" s="103"/>
    </row>
    <row r="40" spans="2:19">
      <c r="B40" s="125"/>
      <c r="C40" s="16"/>
      <c r="D40" s="25" t="s">
        <v>117</v>
      </c>
      <c r="E40" s="26" t="s">
        <v>80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76"/>
      <c r="L40" s="105">
        <f t="shared" si="0"/>
        <v>0</v>
      </c>
      <c r="M40" s="76"/>
    </row>
    <row r="41" spans="2:19">
      <c r="B41" s="125"/>
      <c r="C41" s="16"/>
      <c r="D41" s="25" t="s">
        <v>118</v>
      </c>
      <c r="E41" s="26" t="s">
        <v>83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05"/>
      <c r="L41" s="105">
        <f t="shared" si="0"/>
        <v>0</v>
      </c>
      <c r="M41" s="105"/>
    </row>
    <row r="42" spans="2:19">
      <c r="B42" s="125"/>
      <c r="C42" s="16"/>
      <c r="D42" s="25" t="s">
        <v>119</v>
      </c>
      <c r="E42" s="26" t="s">
        <v>80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76"/>
      <c r="L42" s="105">
        <f t="shared" si="0"/>
        <v>0</v>
      </c>
      <c r="M42" s="76"/>
    </row>
    <row r="43" spans="2:19">
      <c r="B43" s="125"/>
      <c r="C43" s="16"/>
      <c r="D43" s="25" t="s">
        <v>120</v>
      </c>
      <c r="E43" s="26" t="s">
        <v>121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05"/>
      <c r="L43" s="105">
        <f t="shared" si="0"/>
        <v>0</v>
      </c>
      <c r="M43" s="105"/>
    </row>
    <row r="44" spans="2:19">
      <c r="B44" s="125"/>
      <c r="C44" s="16"/>
      <c r="D44" s="25" t="s">
        <v>122</v>
      </c>
      <c r="E44" s="26" t="s">
        <v>58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76"/>
      <c r="L44" s="105">
        <f t="shared" si="0"/>
        <v>0</v>
      </c>
      <c r="M44" s="76"/>
    </row>
    <row r="45" spans="2:19">
      <c r="B45" s="125"/>
      <c r="C45" s="16"/>
      <c r="D45" s="25" t="s">
        <v>123</v>
      </c>
      <c r="E45" s="26" t="s">
        <v>124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05"/>
      <c r="L45" s="105">
        <f t="shared" si="0"/>
        <v>0</v>
      </c>
      <c r="M45" s="105"/>
    </row>
    <row r="46" spans="2:19">
      <c r="B46" s="125">
        <v>46048</v>
      </c>
      <c r="C46" s="16" t="s">
        <v>69</v>
      </c>
      <c r="D46" s="25" t="s">
        <v>125</v>
      </c>
      <c r="E46" s="26" t="s">
        <v>98</v>
      </c>
      <c r="F46" s="13" t="b">
        <v>1</v>
      </c>
      <c r="G46" s="13" t="b">
        <v>0</v>
      </c>
      <c r="H46" s="13" t="b">
        <v>0</v>
      </c>
      <c r="I46" s="13" t="b">
        <v>0</v>
      </c>
      <c r="J46" s="13" t="b">
        <v>0</v>
      </c>
      <c r="K46" s="76">
        <v>19</v>
      </c>
      <c r="L46" s="105">
        <f t="shared" si="0"/>
        <v>19</v>
      </c>
      <c r="M46" s="76"/>
    </row>
    <row r="47" spans="2:19">
      <c r="B47" s="125">
        <v>46030</v>
      </c>
      <c r="C47" s="16" t="s">
        <v>66</v>
      </c>
      <c r="D47" s="25" t="s">
        <v>126</v>
      </c>
      <c r="E47" s="26" t="s">
        <v>90</v>
      </c>
      <c r="F47" s="13" t="b">
        <v>1</v>
      </c>
      <c r="G47" s="13" t="b">
        <v>0</v>
      </c>
      <c r="H47" s="13" t="b">
        <v>0</v>
      </c>
      <c r="I47" s="13" t="b">
        <v>0</v>
      </c>
      <c r="J47" s="13" t="b">
        <v>0</v>
      </c>
      <c r="K47" s="105">
        <v>12</v>
      </c>
      <c r="L47" s="105">
        <f t="shared" si="0"/>
        <v>4</v>
      </c>
      <c r="M47" s="105">
        <v>8</v>
      </c>
    </row>
    <row r="48" spans="2:19">
      <c r="B48" s="125">
        <v>46030</v>
      </c>
      <c r="C48" s="16" t="s">
        <v>85</v>
      </c>
      <c r="D48" s="25" t="s">
        <v>127</v>
      </c>
      <c r="E48" s="26" t="s">
        <v>93</v>
      </c>
      <c r="F48" s="13" t="b">
        <v>1</v>
      </c>
      <c r="G48" s="13" t="b">
        <v>0</v>
      </c>
      <c r="H48" s="13" t="b">
        <v>0</v>
      </c>
      <c r="I48" s="13" t="b">
        <v>0</v>
      </c>
      <c r="J48" s="13" t="b">
        <v>0</v>
      </c>
      <c r="K48" s="76">
        <v>15</v>
      </c>
      <c r="L48" s="105">
        <f t="shared" si="0"/>
        <v>1</v>
      </c>
      <c r="M48" s="76">
        <v>14</v>
      </c>
    </row>
    <row r="49" spans="2:13">
      <c r="B49" s="125"/>
      <c r="C49" s="16"/>
      <c r="D49" s="25" t="s">
        <v>128</v>
      </c>
      <c r="E49" s="26" t="s">
        <v>129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05"/>
      <c r="L49" s="105">
        <f t="shared" si="0"/>
        <v>0</v>
      </c>
      <c r="M49" s="105"/>
    </row>
    <row r="50" spans="2:13">
      <c r="B50" s="125"/>
      <c r="C50" s="16"/>
      <c r="D50" s="25" t="s">
        <v>130</v>
      </c>
      <c r="E50" s="26" t="s">
        <v>50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76"/>
      <c r="L50" s="105">
        <f t="shared" si="0"/>
        <v>0</v>
      </c>
      <c r="M50" s="76"/>
    </row>
    <row r="51" spans="2:13">
      <c r="B51" s="125"/>
      <c r="C51" s="16"/>
      <c r="D51" s="25" t="s">
        <v>131</v>
      </c>
      <c r="E51" s="26" t="s">
        <v>50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05"/>
      <c r="L51" s="105">
        <f t="shared" si="0"/>
        <v>0</v>
      </c>
      <c r="M51" s="105"/>
    </row>
    <row r="52" spans="2:13">
      <c r="B52" s="125">
        <v>46026</v>
      </c>
      <c r="C52" s="16" t="s">
        <v>51</v>
      </c>
      <c r="D52" s="31" t="s">
        <v>132</v>
      </c>
      <c r="E52" s="26" t="s">
        <v>133</v>
      </c>
      <c r="F52" s="13" t="b">
        <v>1</v>
      </c>
      <c r="G52" s="13" t="b">
        <v>1</v>
      </c>
      <c r="H52" s="13" t="b">
        <v>0</v>
      </c>
      <c r="I52" s="13" t="b">
        <v>0</v>
      </c>
      <c r="J52" s="13" t="b">
        <v>0</v>
      </c>
      <c r="K52" s="76">
        <v>17</v>
      </c>
      <c r="L52" s="105">
        <f t="shared" si="0"/>
        <v>2</v>
      </c>
      <c r="M52" s="76">
        <v>15</v>
      </c>
    </row>
    <row r="53" spans="2:13">
      <c r="B53" s="125">
        <v>46026</v>
      </c>
      <c r="C53" s="16" t="s">
        <v>51</v>
      </c>
      <c r="D53" s="31" t="s">
        <v>134</v>
      </c>
      <c r="E53" s="26" t="s">
        <v>135</v>
      </c>
      <c r="F53" s="13" t="b">
        <v>1</v>
      </c>
      <c r="G53" s="13" t="b">
        <v>1</v>
      </c>
      <c r="H53" s="13" t="b">
        <v>0</v>
      </c>
      <c r="I53" s="13" t="b">
        <v>0</v>
      </c>
      <c r="J53" s="13" t="b">
        <v>0</v>
      </c>
      <c r="K53" s="105">
        <v>14</v>
      </c>
      <c r="L53" s="105">
        <f t="shared" si="0"/>
        <v>4</v>
      </c>
      <c r="M53" s="105">
        <v>10</v>
      </c>
    </row>
    <row r="54" spans="2:13">
      <c r="B54" s="125">
        <v>46069</v>
      </c>
      <c r="C54" s="16" t="s">
        <v>85</v>
      </c>
      <c r="D54" s="31" t="s">
        <v>136</v>
      </c>
      <c r="E54" s="26" t="s">
        <v>137</v>
      </c>
      <c r="F54" s="13" t="b">
        <v>1</v>
      </c>
      <c r="G54" s="13" t="b">
        <v>1</v>
      </c>
      <c r="H54" s="13" t="b">
        <v>0</v>
      </c>
      <c r="I54" s="13" t="b">
        <v>0</v>
      </c>
      <c r="J54" s="13" t="b">
        <v>0</v>
      </c>
      <c r="K54" s="76">
        <v>16</v>
      </c>
      <c r="L54" s="105">
        <f t="shared" si="0"/>
        <v>6</v>
      </c>
      <c r="M54" s="76">
        <v>10</v>
      </c>
    </row>
    <row r="55" spans="2:13" ht="27">
      <c r="B55" s="125">
        <v>46027</v>
      </c>
      <c r="C55" s="16" t="s">
        <v>56</v>
      </c>
      <c r="D55" s="25" t="s">
        <v>138</v>
      </c>
      <c r="E55" s="29" t="s">
        <v>139</v>
      </c>
      <c r="F55" s="13" t="b">
        <v>1</v>
      </c>
      <c r="G55" s="13" t="b">
        <v>1</v>
      </c>
      <c r="H55" s="13" t="b">
        <v>0</v>
      </c>
      <c r="I55" s="13" t="b">
        <v>0</v>
      </c>
      <c r="J55" s="13" t="b">
        <v>0</v>
      </c>
      <c r="K55" s="105">
        <v>41</v>
      </c>
      <c r="L55" s="105">
        <f t="shared" si="0"/>
        <v>5</v>
      </c>
      <c r="M55" s="105">
        <v>36</v>
      </c>
    </row>
    <row r="56" spans="2:13" ht="27">
      <c r="B56" s="125">
        <v>46027</v>
      </c>
      <c r="C56" s="16" t="s">
        <v>75</v>
      </c>
      <c r="D56" s="25" t="s">
        <v>140</v>
      </c>
      <c r="E56" s="26" t="s">
        <v>141</v>
      </c>
      <c r="F56" s="13" t="b">
        <v>1</v>
      </c>
      <c r="G56" s="13" t="b">
        <v>1</v>
      </c>
      <c r="H56" s="13" t="b">
        <v>0</v>
      </c>
      <c r="I56" s="13" t="b">
        <v>0</v>
      </c>
      <c r="J56" s="13" t="b">
        <v>0</v>
      </c>
      <c r="K56" s="76">
        <v>9</v>
      </c>
      <c r="L56" s="105">
        <f t="shared" si="0"/>
        <v>1</v>
      </c>
      <c r="M56" s="76">
        <v>8</v>
      </c>
    </row>
    <row r="57" spans="2:13">
      <c r="B57" s="125">
        <v>46026</v>
      </c>
      <c r="C57" s="16" t="s">
        <v>51</v>
      </c>
      <c r="D57" s="25" t="s">
        <v>142</v>
      </c>
      <c r="E57" s="26" t="s">
        <v>74</v>
      </c>
      <c r="F57" s="13" t="b">
        <v>1</v>
      </c>
      <c r="G57" s="13" t="b">
        <v>1</v>
      </c>
      <c r="H57" s="13" t="b">
        <v>0</v>
      </c>
      <c r="I57" s="13" t="b">
        <v>0</v>
      </c>
      <c r="J57" s="13" t="b">
        <v>0</v>
      </c>
      <c r="K57" s="105">
        <v>13</v>
      </c>
      <c r="L57" s="105">
        <f t="shared" si="0"/>
        <v>0</v>
      </c>
      <c r="M57" s="105">
        <v>13</v>
      </c>
    </row>
    <row r="58" spans="2:13">
      <c r="B58" s="125">
        <v>46048</v>
      </c>
      <c r="C58" s="16" t="s">
        <v>56</v>
      </c>
      <c r="D58" s="25" t="s">
        <v>143</v>
      </c>
      <c r="E58" s="26" t="s">
        <v>65</v>
      </c>
      <c r="F58" s="13" t="b">
        <v>1</v>
      </c>
      <c r="G58" s="13" t="b">
        <v>1</v>
      </c>
      <c r="H58" s="13" t="b">
        <v>0</v>
      </c>
      <c r="I58" s="13" t="b">
        <v>0</v>
      </c>
      <c r="J58" s="13" t="b">
        <v>0</v>
      </c>
      <c r="K58" s="76">
        <v>13</v>
      </c>
      <c r="L58" s="105">
        <f t="shared" si="0"/>
        <v>2</v>
      </c>
      <c r="M58" s="76">
        <v>11</v>
      </c>
    </row>
    <row r="59" spans="2:13">
      <c r="B59" s="125">
        <v>46026</v>
      </c>
      <c r="C59" s="16" t="s">
        <v>51</v>
      </c>
      <c r="D59" s="25" t="s">
        <v>144</v>
      </c>
      <c r="E59" s="26" t="s">
        <v>68</v>
      </c>
      <c r="F59" s="13" t="b">
        <v>1</v>
      </c>
      <c r="G59" s="13" t="b">
        <v>1</v>
      </c>
      <c r="H59" s="13" t="b">
        <v>0</v>
      </c>
      <c r="I59" s="13" t="b">
        <v>0</v>
      </c>
      <c r="J59" s="13" t="b">
        <v>0</v>
      </c>
      <c r="K59" s="105">
        <v>8</v>
      </c>
      <c r="L59" s="105">
        <f t="shared" si="0"/>
        <v>0</v>
      </c>
      <c r="M59" s="105">
        <v>8</v>
      </c>
    </row>
    <row r="60" spans="2:13">
      <c r="B60" s="125">
        <v>46027</v>
      </c>
      <c r="C60" s="16" t="s">
        <v>51</v>
      </c>
      <c r="D60" s="25" t="s">
        <v>145</v>
      </c>
      <c r="E60" s="26" t="s">
        <v>71</v>
      </c>
      <c r="F60" s="13" t="b">
        <v>1</v>
      </c>
      <c r="G60" s="13" t="b">
        <v>1</v>
      </c>
      <c r="H60" s="13" t="b">
        <v>0</v>
      </c>
      <c r="I60" s="13" t="b">
        <v>0</v>
      </c>
      <c r="J60" s="13" t="b">
        <v>0</v>
      </c>
      <c r="K60" s="76">
        <v>7</v>
      </c>
      <c r="L60" s="105">
        <f t="shared" si="0"/>
        <v>1</v>
      </c>
      <c r="M60" s="76">
        <v>6</v>
      </c>
    </row>
    <row r="61" spans="2:13">
      <c r="B61" s="125">
        <v>46026</v>
      </c>
      <c r="C61" s="16" t="s">
        <v>51</v>
      </c>
      <c r="D61" s="25" t="s">
        <v>146</v>
      </c>
      <c r="E61" s="26" t="s">
        <v>77</v>
      </c>
      <c r="F61" s="13" t="b">
        <v>1</v>
      </c>
      <c r="G61" s="13" t="b">
        <v>1</v>
      </c>
      <c r="H61" s="13" t="b">
        <v>0</v>
      </c>
      <c r="I61" s="13" t="b">
        <v>0</v>
      </c>
      <c r="J61" s="13" t="b">
        <v>0</v>
      </c>
      <c r="K61" s="105">
        <v>15</v>
      </c>
      <c r="L61" s="105">
        <f t="shared" si="0"/>
        <v>1</v>
      </c>
      <c r="M61" s="105">
        <v>14</v>
      </c>
    </row>
    <row r="62" spans="2:13">
      <c r="B62" s="125">
        <v>46125</v>
      </c>
      <c r="C62" s="16" t="s">
        <v>85</v>
      </c>
      <c r="D62" s="109" t="s">
        <v>147</v>
      </c>
      <c r="E62" s="32" t="s">
        <v>58</v>
      </c>
      <c r="F62" s="13" t="b">
        <v>1</v>
      </c>
      <c r="G62" s="13" t="b">
        <v>0</v>
      </c>
      <c r="H62" s="13" t="b">
        <v>0</v>
      </c>
      <c r="I62" s="13" t="b">
        <v>0</v>
      </c>
      <c r="J62" s="13" t="b">
        <v>0</v>
      </c>
      <c r="K62" s="76">
        <v>1</v>
      </c>
      <c r="L62" s="105">
        <f t="shared" si="0"/>
        <v>1</v>
      </c>
      <c r="M62" s="76"/>
    </row>
    <row r="63" spans="2:13">
      <c r="B63" s="125"/>
      <c r="C63" s="16"/>
      <c r="D63" s="25" t="s">
        <v>148</v>
      </c>
      <c r="E63" s="26" t="s">
        <v>80</v>
      </c>
      <c r="F63" s="13" t="b">
        <v>0</v>
      </c>
      <c r="G63" s="13" t="b">
        <v>0</v>
      </c>
      <c r="H63" s="13" t="b">
        <v>0</v>
      </c>
      <c r="I63" s="13" t="b">
        <v>0</v>
      </c>
      <c r="J63" s="13" t="b">
        <v>0</v>
      </c>
      <c r="K63" s="105"/>
      <c r="L63" s="105">
        <f t="shared" si="0"/>
        <v>0</v>
      </c>
      <c r="M63" s="105"/>
    </row>
    <row r="64" spans="2:13">
      <c r="B64" s="125"/>
      <c r="C64" s="16"/>
      <c r="D64" s="25" t="s">
        <v>149</v>
      </c>
      <c r="E64" s="26" t="s">
        <v>83</v>
      </c>
      <c r="F64" s="13" t="b">
        <v>0</v>
      </c>
      <c r="G64" s="13" t="b">
        <v>0</v>
      </c>
      <c r="H64" s="13" t="b">
        <v>0</v>
      </c>
      <c r="I64" s="13" t="b">
        <v>0</v>
      </c>
      <c r="J64" s="13" t="b">
        <v>0</v>
      </c>
      <c r="K64" s="76"/>
      <c r="L64" s="105">
        <f t="shared" si="0"/>
        <v>0</v>
      </c>
      <c r="M64" s="76"/>
    </row>
    <row r="65" spans="2:13">
      <c r="B65" s="125"/>
      <c r="C65" s="16"/>
      <c r="D65" s="25" t="s">
        <v>150</v>
      </c>
      <c r="E65" s="26" t="s">
        <v>80</v>
      </c>
      <c r="F65" s="13" t="b">
        <v>0</v>
      </c>
      <c r="G65" s="13" t="b">
        <v>0</v>
      </c>
      <c r="H65" s="13" t="b">
        <v>0</v>
      </c>
      <c r="I65" s="13" t="b">
        <v>0</v>
      </c>
      <c r="J65" s="13" t="b">
        <v>0</v>
      </c>
      <c r="K65" s="105"/>
      <c r="L65" s="105">
        <f t="shared" si="0"/>
        <v>0</v>
      </c>
      <c r="M65" s="105"/>
    </row>
    <row r="66" spans="2:13">
      <c r="B66" s="125"/>
      <c r="C66" s="16"/>
      <c r="D66" s="25" t="s">
        <v>151</v>
      </c>
      <c r="E66" s="26" t="s">
        <v>152</v>
      </c>
      <c r="F66" s="13" t="b">
        <v>0</v>
      </c>
      <c r="G66" s="13" t="b">
        <v>0</v>
      </c>
      <c r="H66" s="13" t="b">
        <v>0</v>
      </c>
      <c r="I66" s="13" t="b">
        <v>0</v>
      </c>
      <c r="J66" s="13" t="b">
        <v>0</v>
      </c>
      <c r="K66" s="76"/>
      <c r="L66" s="105">
        <f t="shared" si="0"/>
        <v>0</v>
      </c>
      <c r="M66" s="76"/>
    </row>
    <row r="67" spans="2:13">
      <c r="B67" s="125"/>
      <c r="C67" s="16"/>
      <c r="D67" s="25" t="s">
        <v>153</v>
      </c>
      <c r="E67" s="26" t="s">
        <v>154</v>
      </c>
      <c r="F67" s="13" t="b">
        <v>0</v>
      </c>
      <c r="G67" s="13" t="b">
        <v>0</v>
      </c>
      <c r="H67" s="13" t="b">
        <v>0</v>
      </c>
      <c r="I67" s="13" t="b">
        <v>0</v>
      </c>
      <c r="J67" s="13" t="b">
        <v>0</v>
      </c>
      <c r="K67" s="105"/>
      <c r="L67" s="105">
        <f t="shared" si="0"/>
        <v>0</v>
      </c>
      <c r="M67" s="105"/>
    </row>
    <row r="68" spans="2:13">
      <c r="B68" s="125">
        <v>46048</v>
      </c>
      <c r="C68" s="16" t="s">
        <v>66</v>
      </c>
      <c r="D68" s="25" t="s">
        <v>155</v>
      </c>
      <c r="E68" s="26" t="s">
        <v>98</v>
      </c>
      <c r="F68" s="13" t="b">
        <v>1</v>
      </c>
      <c r="G68" s="13" t="b">
        <v>0</v>
      </c>
      <c r="H68" s="13" t="b">
        <v>0</v>
      </c>
      <c r="I68" s="13" t="b">
        <v>0</v>
      </c>
      <c r="J68" s="13" t="b">
        <v>0</v>
      </c>
      <c r="K68" s="76">
        <v>9</v>
      </c>
      <c r="L68" s="105">
        <f t="shared" si="0"/>
        <v>9</v>
      </c>
      <c r="M68" s="76"/>
    </row>
    <row r="69" spans="2:13">
      <c r="B69" s="125"/>
      <c r="C69" s="16"/>
      <c r="D69" s="25" t="s">
        <v>156</v>
      </c>
      <c r="E69" s="26" t="s">
        <v>157</v>
      </c>
      <c r="F69" s="13" t="b">
        <v>0</v>
      </c>
      <c r="G69" s="13" t="b">
        <v>0</v>
      </c>
      <c r="H69" s="13" t="b">
        <v>0</v>
      </c>
      <c r="I69" s="13" t="b">
        <v>0</v>
      </c>
      <c r="J69" s="13" t="b">
        <v>0</v>
      </c>
      <c r="K69" s="105"/>
      <c r="L69" s="105">
        <f t="shared" si="0"/>
        <v>0</v>
      </c>
      <c r="M69" s="105"/>
    </row>
    <row r="70" spans="2:13">
      <c r="B70" s="125"/>
      <c r="C70" s="16"/>
      <c r="D70" s="25" t="s">
        <v>158</v>
      </c>
      <c r="E70" s="26" t="s">
        <v>58</v>
      </c>
      <c r="F70" s="13" t="b">
        <v>0</v>
      </c>
      <c r="G70" s="13" t="b">
        <v>0</v>
      </c>
      <c r="H70" s="13" t="b">
        <v>0</v>
      </c>
      <c r="I70" s="13" t="b">
        <v>0</v>
      </c>
      <c r="J70" s="13" t="b">
        <v>0</v>
      </c>
      <c r="K70" s="76"/>
      <c r="L70" s="105">
        <f t="shared" si="0"/>
        <v>0</v>
      </c>
      <c r="M70" s="76"/>
    </row>
    <row r="71" spans="2:13">
      <c r="B71" s="125">
        <v>46030</v>
      </c>
      <c r="C71" s="16" t="s">
        <v>66</v>
      </c>
      <c r="D71" s="25" t="s">
        <v>159</v>
      </c>
      <c r="E71" s="26" t="s">
        <v>90</v>
      </c>
      <c r="F71" s="13" t="b">
        <v>1</v>
      </c>
      <c r="G71" s="13" t="b">
        <v>0</v>
      </c>
      <c r="H71" s="13" t="b">
        <v>0</v>
      </c>
      <c r="I71" s="13" t="b">
        <v>0</v>
      </c>
      <c r="J71" s="13" t="b">
        <v>0</v>
      </c>
      <c r="K71" s="105">
        <v>15</v>
      </c>
      <c r="L71" s="105">
        <f t="shared" ref="L71:L134" si="1">K71-M71</f>
        <v>7</v>
      </c>
      <c r="M71" s="105">
        <v>8</v>
      </c>
    </row>
    <row r="72" spans="2:13">
      <c r="B72" s="125"/>
      <c r="C72" s="16"/>
      <c r="D72" s="25" t="s">
        <v>159</v>
      </c>
      <c r="E72" s="26" t="s">
        <v>93</v>
      </c>
      <c r="F72" s="13" t="b">
        <v>0</v>
      </c>
      <c r="G72" s="13" t="b">
        <v>0</v>
      </c>
      <c r="H72" s="13" t="b">
        <v>0</v>
      </c>
      <c r="I72" s="13" t="b">
        <v>0</v>
      </c>
      <c r="J72" s="13" t="b">
        <v>0</v>
      </c>
      <c r="K72" s="76"/>
      <c r="L72" s="105">
        <f t="shared" si="1"/>
        <v>0</v>
      </c>
      <c r="M72" s="76"/>
    </row>
    <row r="73" spans="2:13">
      <c r="B73" s="125">
        <v>46030</v>
      </c>
      <c r="C73" s="16" t="s">
        <v>85</v>
      </c>
      <c r="D73" s="25" t="s">
        <v>160</v>
      </c>
      <c r="E73" s="26" t="s">
        <v>93</v>
      </c>
      <c r="F73" s="13" t="b">
        <v>1</v>
      </c>
      <c r="G73" s="13" t="b">
        <v>0</v>
      </c>
      <c r="H73" s="13" t="b">
        <v>0</v>
      </c>
      <c r="I73" s="13" t="b">
        <v>0</v>
      </c>
      <c r="J73" s="13" t="b">
        <v>0</v>
      </c>
      <c r="K73" s="105">
        <v>16</v>
      </c>
      <c r="L73" s="105">
        <f t="shared" si="1"/>
        <v>1</v>
      </c>
      <c r="M73" s="105">
        <v>15</v>
      </c>
    </row>
    <row r="74" spans="2:13">
      <c r="B74" s="125"/>
      <c r="C74" s="16"/>
      <c r="D74" s="25" t="s">
        <v>161</v>
      </c>
      <c r="E74" s="26" t="s">
        <v>154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76"/>
      <c r="L74" s="105">
        <f t="shared" si="1"/>
        <v>0</v>
      </c>
      <c r="M74" s="76"/>
    </row>
    <row r="75" spans="2:13">
      <c r="B75" s="125">
        <v>46048</v>
      </c>
      <c r="C75" s="16" t="s">
        <v>85</v>
      </c>
      <c r="D75" s="25" t="s">
        <v>162</v>
      </c>
      <c r="E75" s="26" t="s">
        <v>154</v>
      </c>
      <c r="F75" s="13" t="b">
        <v>1</v>
      </c>
      <c r="G75" s="13" t="b">
        <v>0</v>
      </c>
      <c r="H75" s="13" t="b">
        <v>0</v>
      </c>
      <c r="I75" s="13" t="b">
        <v>0</v>
      </c>
      <c r="J75" s="13" t="b">
        <v>0</v>
      </c>
      <c r="K75" s="105">
        <v>11</v>
      </c>
      <c r="L75" s="105">
        <f t="shared" si="1"/>
        <v>11</v>
      </c>
      <c r="M75" s="105"/>
    </row>
    <row r="76" spans="2:13">
      <c r="B76" s="125">
        <v>46048</v>
      </c>
      <c r="C76" s="16" t="s">
        <v>56</v>
      </c>
      <c r="D76" s="25" t="s">
        <v>163</v>
      </c>
      <c r="E76" s="26" t="s">
        <v>154</v>
      </c>
      <c r="F76" s="13" t="b">
        <v>1</v>
      </c>
      <c r="G76" s="13" t="b">
        <v>0</v>
      </c>
      <c r="H76" s="13" t="b">
        <v>0</v>
      </c>
      <c r="I76" s="13" t="b">
        <v>0</v>
      </c>
      <c r="J76" s="13" t="b">
        <v>0</v>
      </c>
      <c r="K76" s="76">
        <v>5</v>
      </c>
      <c r="L76" s="105">
        <f t="shared" si="1"/>
        <v>5</v>
      </c>
      <c r="M76" s="76"/>
    </row>
    <row r="77" spans="2:13">
      <c r="B77" s="125">
        <v>46048</v>
      </c>
      <c r="C77" s="16" t="s">
        <v>85</v>
      </c>
      <c r="D77" s="25" t="s">
        <v>164</v>
      </c>
      <c r="E77" s="26" t="s">
        <v>165</v>
      </c>
      <c r="F77" s="13" t="b">
        <v>1</v>
      </c>
      <c r="G77" s="13" t="b">
        <v>0</v>
      </c>
      <c r="H77" s="13" t="b">
        <v>0</v>
      </c>
      <c r="I77" s="13" t="b">
        <v>0</v>
      </c>
      <c r="J77" s="13" t="b">
        <v>0</v>
      </c>
      <c r="K77" s="105">
        <v>7</v>
      </c>
      <c r="L77" s="105">
        <f t="shared" si="1"/>
        <v>7</v>
      </c>
      <c r="M77" s="105"/>
    </row>
    <row r="78" spans="2:13">
      <c r="B78" s="125"/>
      <c r="C78" s="16"/>
      <c r="D78" s="25" t="s">
        <v>166</v>
      </c>
      <c r="E78" s="26" t="s">
        <v>167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76"/>
      <c r="L78" s="105">
        <f t="shared" si="1"/>
        <v>0</v>
      </c>
      <c r="M78" s="76"/>
    </row>
    <row r="79" spans="2:13">
      <c r="B79" s="125">
        <v>46048</v>
      </c>
      <c r="C79" s="16" t="s">
        <v>85</v>
      </c>
      <c r="D79" s="109" t="s">
        <v>168</v>
      </c>
      <c r="E79" s="26" t="s">
        <v>169</v>
      </c>
      <c r="F79" s="13" t="b">
        <v>1</v>
      </c>
      <c r="G79" s="13" t="b">
        <v>0</v>
      </c>
      <c r="H79" s="13" t="b">
        <v>0</v>
      </c>
      <c r="I79" s="13" t="b">
        <v>0</v>
      </c>
      <c r="J79" s="13" t="b">
        <v>0</v>
      </c>
      <c r="K79" s="105">
        <v>4</v>
      </c>
      <c r="L79" s="105">
        <f t="shared" si="1"/>
        <v>4</v>
      </c>
      <c r="M79" s="105"/>
    </row>
    <row r="80" spans="2:13">
      <c r="B80" s="125"/>
      <c r="C80" s="16"/>
      <c r="D80" s="25" t="s">
        <v>170</v>
      </c>
      <c r="E80" s="26" t="s">
        <v>171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76"/>
      <c r="L80" s="105">
        <f t="shared" si="1"/>
        <v>0</v>
      </c>
      <c r="M80" s="76"/>
    </row>
    <row r="81" spans="2:17">
      <c r="B81" s="125">
        <v>46048</v>
      </c>
      <c r="C81" s="16" t="s">
        <v>85</v>
      </c>
      <c r="D81" s="25" t="s">
        <v>172</v>
      </c>
      <c r="E81" s="26" t="s">
        <v>173</v>
      </c>
      <c r="F81" s="13" t="b">
        <v>1</v>
      </c>
      <c r="G81" s="13" t="b">
        <v>0</v>
      </c>
      <c r="H81" s="13" t="b">
        <v>0</v>
      </c>
      <c r="I81" s="13" t="b">
        <v>0</v>
      </c>
      <c r="J81" s="13" t="b">
        <v>0</v>
      </c>
      <c r="K81" s="105">
        <v>5</v>
      </c>
      <c r="L81" s="105">
        <f t="shared" si="1"/>
        <v>5</v>
      </c>
      <c r="M81" s="105"/>
    </row>
    <row r="82" spans="2:17">
      <c r="B82" s="125"/>
      <c r="C82" s="16"/>
      <c r="D82" s="25" t="s">
        <v>174</v>
      </c>
      <c r="E82" s="29" t="s">
        <v>175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76"/>
      <c r="L82" s="105">
        <f t="shared" si="1"/>
        <v>0</v>
      </c>
      <c r="M82" s="76"/>
    </row>
    <row r="83" spans="2:17">
      <c r="B83" s="125">
        <v>46124</v>
      </c>
      <c r="C83" s="16" t="s">
        <v>85</v>
      </c>
      <c r="D83" s="25" t="s">
        <v>176</v>
      </c>
      <c r="E83" s="26" t="s">
        <v>177</v>
      </c>
      <c r="F83" s="13" t="b">
        <v>1</v>
      </c>
      <c r="G83" s="13" t="b">
        <v>0</v>
      </c>
      <c r="H83" s="13" t="b">
        <v>0</v>
      </c>
      <c r="I83" s="13" t="b">
        <v>0</v>
      </c>
      <c r="J83" s="13" t="b">
        <v>0</v>
      </c>
      <c r="K83" s="105">
        <v>14</v>
      </c>
      <c r="L83" s="105">
        <f t="shared" si="1"/>
        <v>14</v>
      </c>
      <c r="M83" s="105"/>
    </row>
    <row r="84" spans="2:17">
      <c r="B84" s="125"/>
      <c r="C84" s="16"/>
      <c r="D84" s="25" t="s">
        <v>178</v>
      </c>
      <c r="E84" s="26" t="s">
        <v>179</v>
      </c>
      <c r="F84" s="13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76"/>
      <c r="L84" s="105">
        <f t="shared" si="1"/>
        <v>0</v>
      </c>
      <c r="M84" s="76"/>
    </row>
    <row r="85" spans="2:17">
      <c r="B85" s="125"/>
      <c r="C85" s="16"/>
      <c r="D85" s="30" t="s">
        <v>180</v>
      </c>
      <c r="E85" s="29" t="s">
        <v>181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105"/>
      <c r="L85" s="105">
        <f t="shared" si="1"/>
        <v>0</v>
      </c>
      <c r="M85" s="105"/>
    </row>
    <row r="86" spans="2:17" ht="24">
      <c r="B86" s="125"/>
      <c r="C86" s="16"/>
      <c r="D86" s="31" t="s">
        <v>182</v>
      </c>
      <c r="E86" s="32" t="s">
        <v>183</v>
      </c>
      <c r="F86" s="13" t="b">
        <v>0</v>
      </c>
      <c r="G86" s="13" t="b">
        <v>0</v>
      </c>
      <c r="H86" s="13" t="b">
        <v>0</v>
      </c>
      <c r="I86" s="13" t="b">
        <v>0</v>
      </c>
      <c r="J86" s="13" t="b">
        <v>0</v>
      </c>
      <c r="K86" s="76"/>
      <c r="L86" s="105">
        <f t="shared" si="1"/>
        <v>0</v>
      </c>
      <c r="M86" s="76"/>
      <c r="N86" s="115" t="s">
        <v>26</v>
      </c>
      <c r="O86" s="118">
        <f>O87+O88</f>
        <v>376</v>
      </c>
    </row>
    <row r="87" spans="2:17">
      <c r="B87" s="125">
        <v>46042</v>
      </c>
      <c r="C87" s="16" t="s">
        <v>69</v>
      </c>
      <c r="D87" s="33" t="s">
        <v>184</v>
      </c>
      <c r="E87" s="34" t="s">
        <v>185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105"/>
      <c r="L87" s="105">
        <f t="shared" si="1"/>
        <v>0</v>
      </c>
      <c r="M87" s="105"/>
      <c r="N87" s="116" t="s">
        <v>27</v>
      </c>
      <c r="O87" s="119">
        <f>COUNTIFS(F90:F465,TRUE)</f>
        <v>167</v>
      </c>
    </row>
    <row r="88" spans="2:17">
      <c r="B88" s="125"/>
      <c r="C88" s="16"/>
      <c r="D88" s="30" t="s">
        <v>186</v>
      </c>
      <c r="E88" s="29" t="s">
        <v>187</v>
      </c>
      <c r="F88" s="13" t="b">
        <v>0</v>
      </c>
      <c r="G88" s="13" t="b">
        <v>0</v>
      </c>
      <c r="H88" s="13" t="b">
        <v>0</v>
      </c>
      <c r="I88" s="13" t="b">
        <v>0</v>
      </c>
      <c r="J88" s="13" t="b">
        <v>0</v>
      </c>
      <c r="K88" s="76"/>
      <c r="L88" s="105">
        <f t="shared" si="1"/>
        <v>0</v>
      </c>
      <c r="M88" s="76"/>
      <c r="N88" s="117" t="s">
        <v>28</v>
      </c>
      <c r="O88" s="120">
        <f>COUNTIFS(F90:F465,FALSE)</f>
        <v>209</v>
      </c>
    </row>
    <row r="89" spans="2:17">
      <c r="B89" s="125">
        <v>46055</v>
      </c>
      <c r="C89" s="16" t="s">
        <v>81</v>
      </c>
      <c r="D89" s="30" t="s">
        <v>188</v>
      </c>
      <c r="E89" s="29" t="s">
        <v>189</v>
      </c>
      <c r="F89" s="13" t="b">
        <v>1</v>
      </c>
      <c r="G89" s="13" t="b">
        <v>0</v>
      </c>
      <c r="H89" s="13" t="b">
        <v>0</v>
      </c>
      <c r="I89" s="13" t="b">
        <v>0</v>
      </c>
      <c r="J89" s="13" t="b">
        <v>0</v>
      </c>
      <c r="K89" s="105"/>
      <c r="L89" s="105">
        <f t="shared" si="1"/>
        <v>0</v>
      </c>
      <c r="M89" s="105"/>
    </row>
    <row r="90" spans="2:17">
      <c r="B90" s="125">
        <v>46069</v>
      </c>
      <c r="C90" s="16" t="s">
        <v>66</v>
      </c>
      <c r="D90" s="30" t="s">
        <v>190</v>
      </c>
      <c r="E90" s="29" t="s">
        <v>191</v>
      </c>
      <c r="F90" s="13" t="b">
        <v>1</v>
      </c>
      <c r="G90" s="13" t="b">
        <v>0</v>
      </c>
      <c r="H90" s="13" t="b">
        <v>0</v>
      </c>
      <c r="I90" s="13" t="b">
        <v>0</v>
      </c>
      <c r="J90" s="13" t="b">
        <v>0</v>
      </c>
      <c r="K90" s="76"/>
      <c r="L90" s="105">
        <f t="shared" si="1"/>
        <v>0</v>
      </c>
      <c r="M90" s="76"/>
      <c r="P90" s="115" t="s">
        <v>26</v>
      </c>
      <c r="Q90" s="118">
        <f>Q91+Q92</f>
        <v>376</v>
      </c>
    </row>
    <row r="91" spans="2:17">
      <c r="B91" s="125">
        <v>46121</v>
      </c>
      <c r="C91" s="16" t="s">
        <v>66</v>
      </c>
      <c r="D91" s="30" t="s">
        <v>192</v>
      </c>
      <c r="E91" s="29" t="s">
        <v>193</v>
      </c>
      <c r="F91" s="13" t="b">
        <v>1</v>
      </c>
      <c r="G91" s="13" t="b">
        <v>0</v>
      </c>
      <c r="H91" s="13" t="b">
        <v>0</v>
      </c>
      <c r="I91" s="13" t="b">
        <v>0</v>
      </c>
      <c r="J91" s="13" t="b">
        <v>0</v>
      </c>
      <c r="K91" s="105"/>
      <c r="L91" s="105">
        <f t="shared" si="1"/>
        <v>0</v>
      </c>
      <c r="M91" s="105"/>
      <c r="P91" s="116" t="s">
        <v>27</v>
      </c>
      <c r="Q91" s="119">
        <f>COUNTIFS(G94:G469,TRUE)</f>
        <v>48</v>
      </c>
    </row>
    <row r="92" spans="2:17" ht="24">
      <c r="B92" s="125"/>
      <c r="C92" s="16"/>
      <c r="D92" s="31" t="s">
        <v>194</v>
      </c>
      <c r="E92" s="32" t="s">
        <v>183</v>
      </c>
      <c r="F92" s="13" t="b">
        <v>0</v>
      </c>
      <c r="G92" s="13" t="b">
        <v>0</v>
      </c>
      <c r="H92" s="13" t="b">
        <v>0</v>
      </c>
      <c r="I92" s="13" t="b">
        <v>0</v>
      </c>
      <c r="J92" s="13" t="b">
        <v>0</v>
      </c>
      <c r="K92" s="76"/>
      <c r="L92" s="105">
        <f t="shared" si="1"/>
        <v>0</v>
      </c>
      <c r="M92" s="76"/>
      <c r="P92" s="117" t="s">
        <v>28</v>
      </c>
      <c r="Q92" s="120">
        <f>COUNTIFS(G94:G469,FALSE)</f>
        <v>328</v>
      </c>
    </row>
    <row r="93" spans="2:17">
      <c r="B93" s="125"/>
      <c r="C93" s="16"/>
      <c r="D93" s="30" t="s">
        <v>195</v>
      </c>
      <c r="E93" s="29" t="s">
        <v>196</v>
      </c>
      <c r="F93" s="13" t="b">
        <v>0</v>
      </c>
      <c r="G93" s="13" t="b">
        <v>0</v>
      </c>
      <c r="H93" s="13" t="b">
        <v>0</v>
      </c>
      <c r="I93" s="13" t="b">
        <v>0</v>
      </c>
      <c r="J93" s="13" t="b">
        <v>0</v>
      </c>
      <c r="K93" s="105"/>
      <c r="L93" s="105">
        <f t="shared" si="1"/>
        <v>0</v>
      </c>
      <c r="M93" s="105"/>
    </row>
    <row r="94" spans="2:17">
      <c r="B94" s="125">
        <v>46044</v>
      </c>
      <c r="C94" s="16" t="s">
        <v>53</v>
      </c>
      <c r="D94" s="30" t="s">
        <v>197</v>
      </c>
      <c r="E94" s="29" t="s">
        <v>198</v>
      </c>
      <c r="F94" s="13" t="b">
        <v>1</v>
      </c>
      <c r="G94" s="13" t="b">
        <v>0</v>
      </c>
      <c r="H94" s="13" t="b">
        <v>0</v>
      </c>
      <c r="I94" s="13" t="b">
        <v>0</v>
      </c>
      <c r="J94" s="13" t="b">
        <v>0</v>
      </c>
      <c r="K94" s="76">
        <v>17</v>
      </c>
      <c r="L94" s="105">
        <f t="shared" si="1"/>
        <v>7</v>
      </c>
      <c r="M94" s="76">
        <v>10</v>
      </c>
    </row>
    <row r="95" spans="2:17">
      <c r="B95" s="125">
        <v>46043</v>
      </c>
      <c r="C95" s="16" t="s">
        <v>69</v>
      </c>
      <c r="D95" s="30" t="s">
        <v>199</v>
      </c>
      <c r="E95" s="29" t="s">
        <v>200</v>
      </c>
      <c r="F95" s="13" t="b">
        <v>1</v>
      </c>
      <c r="G95" s="13" t="b">
        <v>0</v>
      </c>
      <c r="H95" s="13" t="b">
        <v>0</v>
      </c>
      <c r="I95" s="13" t="b">
        <v>0</v>
      </c>
      <c r="J95" s="13" t="b">
        <v>0</v>
      </c>
      <c r="K95" s="105">
        <v>27</v>
      </c>
      <c r="L95" s="105">
        <f t="shared" si="1"/>
        <v>12</v>
      </c>
      <c r="M95" s="105">
        <v>15</v>
      </c>
    </row>
    <row r="96" spans="2:17" ht="24">
      <c r="B96" s="125">
        <v>46043</v>
      </c>
      <c r="C96" s="16" t="s">
        <v>85</v>
      </c>
      <c r="D96" s="31" t="s">
        <v>201</v>
      </c>
      <c r="E96" s="32" t="s">
        <v>202</v>
      </c>
      <c r="F96" s="13" t="b">
        <v>1</v>
      </c>
      <c r="G96" s="13" t="b">
        <v>0</v>
      </c>
      <c r="H96" s="13" t="b">
        <v>0</v>
      </c>
      <c r="I96" s="13" t="b">
        <v>0</v>
      </c>
      <c r="J96" s="13" t="b">
        <v>0</v>
      </c>
      <c r="K96" s="76">
        <v>17</v>
      </c>
      <c r="L96" s="105">
        <f t="shared" si="1"/>
        <v>3</v>
      </c>
      <c r="M96" s="76">
        <v>14</v>
      </c>
    </row>
    <row r="97" spans="2:13">
      <c r="B97" s="125">
        <v>46043</v>
      </c>
      <c r="C97" s="16" t="s">
        <v>85</v>
      </c>
      <c r="D97" s="31" t="s">
        <v>203</v>
      </c>
      <c r="E97" s="32" t="s">
        <v>204</v>
      </c>
      <c r="F97" s="13" t="b">
        <v>1</v>
      </c>
      <c r="G97" s="13" t="b">
        <v>0</v>
      </c>
      <c r="H97" s="13" t="b">
        <v>0</v>
      </c>
      <c r="I97" s="13" t="b">
        <v>0</v>
      </c>
      <c r="J97" s="13" t="b">
        <v>0</v>
      </c>
      <c r="K97" s="105"/>
      <c r="L97" s="105">
        <f t="shared" si="1"/>
        <v>0</v>
      </c>
      <c r="M97" s="105"/>
    </row>
    <row r="98" spans="2:13" ht="24">
      <c r="B98" s="125">
        <v>46043</v>
      </c>
      <c r="C98" s="16" t="s">
        <v>85</v>
      </c>
      <c r="D98" s="31" t="s">
        <v>205</v>
      </c>
      <c r="E98" s="32" t="s">
        <v>206</v>
      </c>
      <c r="F98" s="13" t="b">
        <v>1</v>
      </c>
      <c r="G98" s="13" t="b">
        <v>0</v>
      </c>
      <c r="H98" s="13" t="b">
        <v>0</v>
      </c>
      <c r="I98" s="13" t="b">
        <v>0</v>
      </c>
      <c r="J98" s="13" t="b">
        <v>0</v>
      </c>
      <c r="K98" s="76">
        <v>3</v>
      </c>
      <c r="L98" s="105">
        <f t="shared" si="1"/>
        <v>1</v>
      </c>
      <c r="M98" s="76">
        <v>2</v>
      </c>
    </row>
    <row r="99" spans="2:13">
      <c r="B99" s="125">
        <v>46043</v>
      </c>
      <c r="C99" s="16" t="s">
        <v>85</v>
      </c>
      <c r="D99" s="110" t="s">
        <v>207</v>
      </c>
      <c r="E99" s="107" t="s">
        <v>208</v>
      </c>
      <c r="F99" s="13" t="b">
        <v>1</v>
      </c>
      <c r="G99" s="13" t="b">
        <v>1</v>
      </c>
      <c r="H99" s="13" t="b">
        <v>0</v>
      </c>
      <c r="I99" s="13" t="b">
        <v>0</v>
      </c>
      <c r="J99" s="13" t="b">
        <v>0</v>
      </c>
      <c r="K99" s="105">
        <v>1</v>
      </c>
      <c r="L99" s="105">
        <f t="shared" si="1"/>
        <v>0</v>
      </c>
      <c r="M99" s="105">
        <v>1</v>
      </c>
    </row>
    <row r="100" spans="2:13">
      <c r="B100" s="125">
        <v>46043</v>
      </c>
      <c r="C100" s="16" t="s">
        <v>85</v>
      </c>
      <c r="D100" s="30" t="s">
        <v>209</v>
      </c>
      <c r="E100" s="34" t="s">
        <v>210</v>
      </c>
      <c r="F100" s="13" t="b">
        <v>1</v>
      </c>
      <c r="G100" s="13" t="b">
        <v>0</v>
      </c>
      <c r="H100" s="13" t="b">
        <v>0</v>
      </c>
      <c r="I100" s="13" t="b">
        <v>0</v>
      </c>
      <c r="J100" s="13" t="b">
        <v>0</v>
      </c>
      <c r="K100" s="76">
        <v>17</v>
      </c>
      <c r="L100" s="105">
        <f t="shared" si="1"/>
        <v>9</v>
      </c>
      <c r="M100" s="76">
        <v>8</v>
      </c>
    </row>
    <row r="101" spans="2:13">
      <c r="B101" s="125">
        <v>46065</v>
      </c>
      <c r="C101" s="16" t="s">
        <v>69</v>
      </c>
      <c r="D101" s="30" t="s">
        <v>211</v>
      </c>
      <c r="E101" s="29" t="s">
        <v>212</v>
      </c>
      <c r="F101" s="13" t="b">
        <v>1</v>
      </c>
      <c r="G101" s="13" t="b">
        <v>0</v>
      </c>
      <c r="H101" s="13" t="b">
        <v>0</v>
      </c>
      <c r="I101" s="13" t="b">
        <v>0</v>
      </c>
      <c r="J101" s="13" t="b">
        <v>0</v>
      </c>
      <c r="K101" s="105">
        <v>19</v>
      </c>
      <c r="L101" s="105">
        <f t="shared" si="1"/>
        <v>16</v>
      </c>
      <c r="M101" s="105">
        <v>3</v>
      </c>
    </row>
    <row r="102" spans="2:13" ht="32.25" customHeight="1">
      <c r="B102" s="125">
        <v>46043</v>
      </c>
      <c r="C102" s="16" t="s">
        <v>66</v>
      </c>
      <c r="D102" s="30" t="s">
        <v>97</v>
      </c>
      <c r="E102" s="29" t="s">
        <v>213</v>
      </c>
      <c r="F102" s="13" t="b">
        <v>1</v>
      </c>
      <c r="G102" s="13" t="b">
        <v>0</v>
      </c>
      <c r="H102" s="13" t="b">
        <v>0</v>
      </c>
      <c r="I102" s="13" t="b">
        <v>0</v>
      </c>
      <c r="J102" s="13" t="b">
        <v>0</v>
      </c>
      <c r="K102" s="76">
        <v>18</v>
      </c>
      <c r="L102" s="105">
        <f t="shared" si="1"/>
        <v>9</v>
      </c>
      <c r="M102" s="76">
        <v>9</v>
      </c>
    </row>
    <row r="103" spans="2:13">
      <c r="B103" s="125">
        <v>46043</v>
      </c>
      <c r="C103" s="16" t="s">
        <v>85</v>
      </c>
      <c r="D103" s="30" t="s">
        <v>214</v>
      </c>
      <c r="E103" s="29" t="s">
        <v>215</v>
      </c>
      <c r="F103" s="13" t="b">
        <v>1</v>
      </c>
      <c r="G103" s="13" t="b">
        <v>0</v>
      </c>
      <c r="H103" s="13" t="b">
        <v>0</v>
      </c>
      <c r="I103" s="13" t="b">
        <v>0</v>
      </c>
      <c r="J103" s="13" t="b">
        <v>0</v>
      </c>
      <c r="K103" s="105">
        <v>17</v>
      </c>
      <c r="L103" s="105">
        <f t="shared" si="1"/>
        <v>4</v>
      </c>
      <c r="M103" s="105">
        <v>13</v>
      </c>
    </row>
    <row r="104" spans="2:13">
      <c r="B104" s="125">
        <v>46043</v>
      </c>
      <c r="C104" s="16" t="s">
        <v>85</v>
      </c>
      <c r="D104" s="30" t="s">
        <v>216</v>
      </c>
      <c r="E104" s="29" t="s">
        <v>217</v>
      </c>
      <c r="F104" s="13" t="b">
        <v>1</v>
      </c>
      <c r="G104" s="13" t="b">
        <v>0</v>
      </c>
      <c r="H104" s="13" t="b">
        <v>0</v>
      </c>
      <c r="I104" s="13" t="b">
        <v>0</v>
      </c>
      <c r="J104" s="13" t="b">
        <v>0</v>
      </c>
      <c r="K104" s="76">
        <v>22</v>
      </c>
      <c r="L104" s="105">
        <f t="shared" si="1"/>
        <v>10</v>
      </c>
      <c r="M104" s="76">
        <v>12</v>
      </c>
    </row>
    <row r="105" spans="2:13">
      <c r="B105" s="125">
        <v>46043</v>
      </c>
      <c r="C105" s="16" t="s">
        <v>63</v>
      </c>
      <c r="D105" s="30" t="s">
        <v>218</v>
      </c>
      <c r="E105" s="29" t="s">
        <v>219</v>
      </c>
      <c r="F105" s="13" t="b">
        <v>1</v>
      </c>
      <c r="G105" s="13" t="b">
        <v>0</v>
      </c>
      <c r="H105" s="13" t="b">
        <v>0</v>
      </c>
      <c r="I105" s="13" t="b">
        <v>0</v>
      </c>
      <c r="J105" s="13" t="b">
        <v>0</v>
      </c>
      <c r="K105" s="105">
        <v>20</v>
      </c>
      <c r="L105" s="105">
        <f t="shared" si="1"/>
        <v>7</v>
      </c>
      <c r="M105" s="105">
        <v>13</v>
      </c>
    </row>
    <row r="106" spans="2:13">
      <c r="B106" s="125">
        <v>46043</v>
      </c>
      <c r="C106" s="16" t="s">
        <v>53</v>
      </c>
      <c r="D106" s="30" t="s">
        <v>220</v>
      </c>
      <c r="E106" s="29" t="s">
        <v>221</v>
      </c>
      <c r="F106" s="13" t="b">
        <v>1</v>
      </c>
      <c r="G106" s="13" t="b">
        <v>0</v>
      </c>
      <c r="H106" s="13" t="b">
        <v>0</v>
      </c>
      <c r="I106" s="13" t="b">
        <v>0</v>
      </c>
      <c r="J106" s="13" t="b">
        <v>0</v>
      </c>
      <c r="K106" s="76">
        <v>19</v>
      </c>
      <c r="L106" s="105">
        <f t="shared" si="1"/>
        <v>7</v>
      </c>
      <c r="M106" s="76">
        <v>12</v>
      </c>
    </row>
    <row r="107" spans="2:13">
      <c r="B107" s="125"/>
      <c r="C107" s="16"/>
      <c r="D107" s="30" t="s">
        <v>222</v>
      </c>
      <c r="E107" s="29" t="s">
        <v>223</v>
      </c>
      <c r="F107" s="13" t="b">
        <v>1</v>
      </c>
      <c r="G107" s="13" t="b">
        <v>0</v>
      </c>
      <c r="H107" s="13" t="b">
        <v>0</v>
      </c>
      <c r="I107" s="13" t="b">
        <v>0</v>
      </c>
      <c r="J107" s="13" t="b">
        <v>0</v>
      </c>
      <c r="K107" s="105"/>
      <c r="L107" s="105">
        <f t="shared" si="1"/>
        <v>0</v>
      </c>
      <c r="M107" s="105"/>
    </row>
    <row r="108" spans="2:13">
      <c r="B108" s="125">
        <v>46043</v>
      </c>
      <c r="C108" s="16" t="s">
        <v>66</v>
      </c>
      <c r="D108" s="30" t="s">
        <v>224</v>
      </c>
      <c r="E108" s="29" t="s">
        <v>225</v>
      </c>
      <c r="F108" s="13" t="b">
        <v>1</v>
      </c>
      <c r="G108" s="13" t="b">
        <v>0</v>
      </c>
      <c r="H108" s="13" t="b">
        <v>0</v>
      </c>
      <c r="I108" s="13" t="b">
        <v>0</v>
      </c>
      <c r="J108" s="13" t="b">
        <v>0</v>
      </c>
      <c r="K108" s="76">
        <v>22</v>
      </c>
      <c r="L108" s="105">
        <f t="shared" si="1"/>
        <v>20</v>
      </c>
      <c r="M108" s="76">
        <v>2</v>
      </c>
    </row>
    <row r="109" spans="2:13">
      <c r="B109" s="125">
        <v>46124</v>
      </c>
      <c r="C109" s="16" t="s">
        <v>226</v>
      </c>
      <c r="D109" s="30" t="s">
        <v>227</v>
      </c>
      <c r="E109" s="29" t="s">
        <v>65</v>
      </c>
      <c r="F109" s="13" t="b">
        <v>1</v>
      </c>
      <c r="G109" s="13" t="b">
        <v>0</v>
      </c>
      <c r="H109" s="13" t="b">
        <v>0</v>
      </c>
      <c r="I109" s="13" t="b">
        <v>0</v>
      </c>
      <c r="J109" s="13" t="b">
        <v>0</v>
      </c>
      <c r="K109" s="105">
        <v>38</v>
      </c>
      <c r="L109" s="105">
        <f t="shared" si="1"/>
        <v>38</v>
      </c>
      <c r="M109" s="105"/>
    </row>
    <row r="110" spans="2:13">
      <c r="B110" s="125">
        <v>46043</v>
      </c>
      <c r="C110" s="16" t="s">
        <v>66</v>
      </c>
      <c r="D110" s="30" t="s">
        <v>228</v>
      </c>
      <c r="E110" s="29" t="s">
        <v>229</v>
      </c>
      <c r="F110" s="13" t="b">
        <v>1</v>
      </c>
      <c r="G110" s="13" t="b">
        <v>0</v>
      </c>
      <c r="H110" s="13" t="b">
        <v>0</v>
      </c>
      <c r="I110" s="13" t="b">
        <v>0</v>
      </c>
      <c r="J110" s="13" t="b">
        <v>0</v>
      </c>
      <c r="K110" s="76">
        <v>12</v>
      </c>
      <c r="L110" s="105">
        <f t="shared" si="1"/>
        <v>12</v>
      </c>
      <c r="M110" s="76"/>
    </row>
    <row r="111" spans="2:13">
      <c r="B111" s="125">
        <v>46121</v>
      </c>
      <c r="C111" s="16" t="s">
        <v>226</v>
      </c>
      <c r="D111" s="31" t="s">
        <v>230</v>
      </c>
      <c r="E111" s="32" t="s">
        <v>231</v>
      </c>
      <c r="F111" s="13" t="b">
        <v>1</v>
      </c>
      <c r="G111" s="13" t="b">
        <v>0</v>
      </c>
      <c r="H111" s="13" t="b">
        <v>0</v>
      </c>
      <c r="I111" s="13" t="b">
        <v>0</v>
      </c>
      <c r="J111" s="13" t="b">
        <v>0</v>
      </c>
      <c r="K111" s="105">
        <v>55</v>
      </c>
      <c r="L111" s="105">
        <f t="shared" si="1"/>
        <v>55</v>
      </c>
      <c r="M111" s="105"/>
    </row>
    <row r="112" spans="2:13">
      <c r="B112" s="125">
        <v>46043</v>
      </c>
      <c r="C112" s="16" t="s">
        <v>69</v>
      </c>
      <c r="D112" s="31" t="s">
        <v>232</v>
      </c>
      <c r="E112" s="32" t="s">
        <v>233</v>
      </c>
      <c r="F112" s="13" t="b">
        <v>1</v>
      </c>
      <c r="G112" s="13" t="b">
        <v>0</v>
      </c>
      <c r="H112" s="13" t="b">
        <v>0</v>
      </c>
      <c r="I112" s="13" t="b">
        <v>0</v>
      </c>
      <c r="J112" s="13" t="b">
        <v>0</v>
      </c>
      <c r="K112" s="76">
        <v>34</v>
      </c>
      <c r="L112" s="105">
        <f t="shared" si="1"/>
        <v>34</v>
      </c>
      <c r="M112" s="76"/>
    </row>
    <row r="113" spans="2:13" ht="16.5">
      <c r="B113" s="125"/>
      <c r="C113" s="16"/>
      <c r="D113" s="30" t="s">
        <v>232</v>
      </c>
      <c r="E113" s="82" t="s">
        <v>234</v>
      </c>
      <c r="F113" s="13" t="b">
        <v>0</v>
      </c>
      <c r="G113" s="13" t="b">
        <v>0</v>
      </c>
      <c r="H113" s="13" t="b">
        <v>0</v>
      </c>
      <c r="I113" s="13" t="b">
        <v>0</v>
      </c>
      <c r="J113" s="13" t="b">
        <v>0</v>
      </c>
      <c r="K113" s="105"/>
      <c r="L113" s="105">
        <f t="shared" si="1"/>
        <v>0</v>
      </c>
      <c r="M113" s="105"/>
    </row>
    <row r="114" spans="2:13">
      <c r="B114" s="125"/>
      <c r="C114" s="16"/>
      <c r="D114" s="31" t="s">
        <v>235</v>
      </c>
      <c r="E114" s="32" t="s">
        <v>236</v>
      </c>
      <c r="F114" s="13" t="b">
        <v>0</v>
      </c>
      <c r="G114" s="13" t="b">
        <v>0</v>
      </c>
      <c r="H114" s="13" t="b">
        <v>0</v>
      </c>
      <c r="I114" s="13" t="b">
        <v>0</v>
      </c>
      <c r="J114" s="13" t="b">
        <v>0</v>
      </c>
      <c r="K114" s="76"/>
      <c r="L114" s="105">
        <f t="shared" si="1"/>
        <v>0</v>
      </c>
      <c r="M114" s="76"/>
    </row>
    <row r="115" spans="2:13">
      <c r="B115" s="125"/>
      <c r="C115" s="16"/>
      <c r="D115" s="31" t="s">
        <v>235</v>
      </c>
      <c r="E115" s="32" t="s">
        <v>236</v>
      </c>
      <c r="F115" s="13" t="b">
        <v>0</v>
      </c>
      <c r="G115" s="13" t="b">
        <v>0</v>
      </c>
      <c r="H115" s="13" t="b">
        <v>0</v>
      </c>
      <c r="I115" s="13" t="b">
        <v>0</v>
      </c>
      <c r="J115" s="13" t="b">
        <v>0</v>
      </c>
      <c r="K115" s="105"/>
      <c r="L115" s="105">
        <f t="shared" si="1"/>
        <v>0</v>
      </c>
      <c r="M115" s="105"/>
    </row>
    <row r="116" spans="2:13">
      <c r="B116" s="125"/>
      <c r="C116" s="16"/>
      <c r="D116" s="31" t="s">
        <v>237</v>
      </c>
      <c r="E116" s="32" t="s">
        <v>238</v>
      </c>
      <c r="F116" s="13" t="b">
        <v>0</v>
      </c>
      <c r="G116" s="13" t="b">
        <v>0</v>
      </c>
      <c r="H116" s="13" t="b">
        <v>0</v>
      </c>
      <c r="I116" s="13" t="b">
        <v>0</v>
      </c>
      <c r="J116" s="13" t="b">
        <v>0</v>
      </c>
      <c r="K116" s="76"/>
      <c r="L116" s="105">
        <f t="shared" si="1"/>
        <v>0</v>
      </c>
      <c r="M116" s="76"/>
    </row>
    <row r="117" spans="2:13">
      <c r="B117" s="125"/>
      <c r="C117" s="16"/>
      <c r="D117" s="31" t="s">
        <v>239</v>
      </c>
      <c r="E117" s="32" t="s">
        <v>240</v>
      </c>
      <c r="F117" s="13" t="b">
        <v>0</v>
      </c>
      <c r="G117" s="13" t="b">
        <v>0</v>
      </c>
      <c r="H117" s="13" t="b">
        <v>0</v>
      </c>
      <c r="I117" s="13" t="b">
        <v>0</v>
      </c>
      <c r="J117" s="13" t="b">
        <v>0</v>
      </c>
      <c r="K117" s="105"/>
      <c r="L117" s="105">
        <f t="shared" si="1"/>
        <v>0</v>
      </c>
      <c r="M117" s="105"/>
    </row>
    <row r="118" spans="2:13">
      <c r="B118" s="125"/>
      <c r="C118" s="16"/>
      <c r="D118" s="31" t="s">
        <v>241</v>
      </c>
      <c r="E118" s="32" t="s">
        <v>242</v>
      </c>
      <c r="F118" s="13" t="b">
        <v>0</v>
      </c>
      <c r="G118" s="13" t="b">
        <v>0</v>
      </c>
      <c r="H118" s="13" t="b">
        <v>0</v>
      </c>
      <c r="I118" s="13" t="b">
        <v>0</v>
      </c>
      <c r="J118" s="13" t="b">
        <v>0</v>
      </c>
      <c r="K118" s="76"/>
      <c r="L118" s="105">
        <f t="shared" si="1"/>
        <v>0</v>
      </c>
      <c r="M118" s="76"/>
    </row>
    <row r="119" spans="2:13" ht="24">
      <c r="B119" s="125">
        <v>46051</v>
      </c>
      <c r="C119" s="16" t="s">
        <v>226</v>
      </c>
      <c r="D119" s="31" t="s">
        <v>243</v>
      </c>
      <c r="E119" s="32" t="s">
        <v>244</v>
      </c>
      <c r="F119" s="13" t="b">
        <v>1</v>
      </c>
      <c r="G119" s="13" t="b">
        <v>0</v>
      </c>
      <c r="H119" s="13" t="b">
        <v>0</v>
      </c>
      <c r="I119" s="13" t="b">
        <v>0</v>
      </c>
      <c r="J119" s="13" t="b">
        <v>0</v>
      </c>
      <c r="K119" s="105">
        <v>10</v>
      </c>
      <c r="L119" s="105">
        <f t="shared" si="1"/>
        <v>10</v>
      </c>
      <c r="M119" s="105"/>
    </row>
    <row r="120" spans="2:13">
      <c r="B120" s="125">
        <v>46049</v>
      </c>
      <c r="C120" s="16" t="s">
        <v>226</v>
      </c>
      <c r="D120" s="31" t="s">
        <v>245</v>
      </c>
      <c r="E120" s="32" t="s">
        <v>246</v>
      </c>
      <c r="F120" s="13" t="b">
        <v>1</v>
      </c>
      <c r="G120" s="13" t="b">
        <v>0</v>
      </c>
      <c r="H120" s="13" t="b">
        <v>0</v>
      </c>
      <c r="I120" s="13" t="b">
        <v>0</v>
      </c>
      <c r="J120" s="13" t="b">
        <v>0</v>
      </c>
      <c r="K120" s="76">
        <v>20</v>
      </c>
      <c r="L120" s="105">
        <f t="shared" si="1"/>
        <v>14</v>
      </c>
      <c r="M120" s="76">
        <v>6</v>
      </c>
    </row>
    <row r="121" spans="2:13">
      <c r="B121" s="125">
        <v>46049</v>
      </c>
      <c r="C121" s="16" t="s">
        <v>66</v>
      </c>
      <c r="D121" s="31" t="s">
        <v>247</v>
      </c>
      <c r="E121" s="32" t="s">
        <v>248</v>
      </c>
      <c r="F121" s="13" t="b">
        <v>1</v>
      </c>
      <c r="G121" s="13" t="b">
        <v>0</v>
      </c>
      <c r="H121" s="13" t="b">
        <v>0</v>
      </c>
      <c r="I121" s="13" t="b">
        <v>0</v>
      </c>
      <c r="J121" s="13" t="b">
        <v>0</v>
      </c>
      <c r="K121" s="105">
        <v>25</v>
      </c>
      <c r="L121" s="105">
        <f t="shared" si="1"/>
        <v>22</v>
      </c>
      <c r="M121" s="105">
        <v>3</v>
      </c>
    </row>
    <row r="122" spans="2:13">
      <c r="B122" s="125">
        <v>46049</v>
      </c>
      <c r="C122" s="16" t="s">
        <v>226</v>
      </c>
      <c r="D122" s="31" t="s">
        <v>249</v>
      </c>
      <c r="E122" s="32" t="s">
        <v>248</v>
      </c>
      <c r="F122" s="13" t="b">
        <v>1</v>
      </c>
      <c r="G122" s="13" t="b">
        <v>0</v>
      </c>
      <c r="H122" s="13" t="b">
        <v>0</v>
      </c>
      <c r="I122" s="13" t="b">
        <v>0</v>
      </c>
      <c r="J122" s="13" t="b">
        <v>0</v>
      </c>
      <c r="K122" s="76">
        <v>15</v>
      </c>
      <c r="L122" s="105">
        <f t="shared" si="1"/>
        <v>14</v>
      </c>
      <c r="M122" s="76">
        <v>1</v>
      </c>
    </row>
    <row r="123" spans="2:13">
      <c r="B123" s="125"/>
      <c r="C123" s="16"/>
      <c r="D123" s="31" t="s">
        <v>250</v>
      </c>
      <c r="E123" s="32" t="s">
        <v>251</v>
      </c>
      <c r="F123" s="13" t="b">
        <v>0</v>
      </c>
      <c r="G123" s="13" t="b">
        <v>0</v>
      </c>
      <c r="H123" s="13" t="b">
        <v>0</v>
      </c>
      <c r="I123" s="13" t="b">
        <v>0</v>
      </c>
      <c r="J123" s="13" t="b">
        <v>0</v>
      </c>
      <c r="K123" s="105"/>
      <c r="L123" s="105">
        <f t="shared" si="1"/>
        <v>0</v>
      </c>
      <c r="M123" s="105"/>
    </row>
    <row r="124" spans="2:13">
      <c r="B124" s="125"/>
      <c r="C124" s="16"/>
      <c r="D124" s="31" t="s">
        <v>252</v>
      </c>
      <c r="E124" s="32" t="s">
        <v>253</v>
      </c>
      <c r="F124" s="13" t="b">
        <v>0</v>
      </c>
      <c r="G124" s="13" t="b">
        <v>0</v>
      </c>
      <c r="H124" s="13" t="b">
        <v>0</v>
      </c>
      <c r="I124" s="13" t="b">
        <v>0</v>
      </c>
      <c r="J124" s="13" t="b">
        <v>0</v>
      </c>
      <c r="K124" s="76"/>
      <c r="L124" s="105">
        <f t="shared" si="1"/>
        <v>0</v>
      </c>
      <c r="M124" s="76"/>
    </row>
    <row r="125" spans="2:13">
      <c r="B125" s="125"/>
      <c r="C125" s="16"/>
      <c r="D125" s="31" t="s">
        <v>254</v>
      </c>
      <c r="E125" s="32" t="s">
        <v>255</v>
      </c>
      <c r="F125" s="13" t="b">
        <v>0</v>
      </c>
      <c r="G125" s="13" t="b">
        <v>0</v>
      </c>
      <c r="H125" s="13" t="b">
        <v>0</v>
      </c>
      <c r="I125" s="13" t="b">
        <v>0</v>
      </c>
      <c r="J125" s="13" t="b">
        <v>0</v>
      </c>
      <c r="K125" s="105"/>
      <c r="L125" s="105">
        <f t="shared" si="1"/>
        <v>0</v>
      </c>
      <c r="M125" s="105"/>
    </row>
    <row r="126" spans="2:13" ht="24">
      <c r="B126" s="125"/>
      <c r="C126" s="16"/>
      <c r="D126" s="31" t="s">
        <v>256</v>
      </c>
      <c r="E126" s="32" t="s">
        <v>257</v>
      </c>
      <c r="F126" s="13" t="b">
        <v>0</v>
      </c>
      <c r="G126" s="13" t="b">
        <v>0</v>
      </c>
      <c r="H126" s="13" t="b">
        <v>0</v>
      </c>
      <c r="I126" s="13" t="b">
        <v>0</v>
      </c>
      <c r="J126" s="13" t="b">
        <v>0</v>
      </c>
      <c r="K126" s="76"/>
      <c r="L126" s="105">
        <f t="shared" si="1"/>
        <v>0</v>
      </c>
      <c r="M126" s="76"/>
    </row>
    <row r="127" spans="2:13">
      <c r="B127" s="125"/>
      <c r="C127" s="16"/>
      <c r="D127" s="31" t="s">
        <v>258</v>
      </c>
      <c r="E127" s="32" t="s">
        <v>259</v>
      </c>
      <c r="F127" s="13" t="b">
        <v>0</v>
      </c>
      <c r="G127" s="13" t="b">
        <v>0</v>
      </c>
      <c r="H127" s="13" t="b">
        <v>0</v>
      </c>
      <c r="I127" s="13" t="b">
        <v>0</v>
      </c>
      <c r="J127" s="13" t="b">
        <v>0</v>
      </c>
      <c r="K127" s="105"/>
      <c r="L127" s="105">
        <f t="shared" si="1"/>
        <v>0</v>
      </c>
      <c r="M127" s="105"/>
    </row>
    <row r="128" spans="2:13">
      <c r="B128" s="125"/>
      <c r="C128" s="16"/>
      <c r="D128" s="31" t="s">
        <v>260</v>
      </c>
      <c r="E128" s="32" t="s">
        <v>261</v>
      </c>
      <c r="F128" s="13" t="b">
        <v>0</v>
      </c>
      <c r="G128" s="13" t="b">
        <v>0</v>
      </c>
      <c r="H128" s="13" t="b">
        <v>0</v>
      </c>
      <c r="I128" s="13" t="b">
        <v>0</v>
      </c>
      <c r="J128" s="13" t="b">
        <v>0</v>
      </c>
      <c r="K128" s="76"/>
      <c r="L128" s="105">
        <f t="shared" si="1"/>
        <v>0</v>
      </c>
      <c r="M128" s="76"/>
    </row>
    <row r="129" spans="2:13">
      <c r="B129" s="125">
        <v>46042</v>
      </c>
      <c r="C129" s="16" t="s">
        <v>56</v>
      </c>
      <c r="D129" s="31" t="s">
        <v>262</v>
      </c>
      <c r="E129" s="32" t="s">
        <v>263</v>
      </c>
      <c r="F129" s="13" t="b">
        <v>1</v>
      </c>
      <c r="G129" s="13" t="b">
        <v>1</v>
      </c>
      <c r="H129" s="13" t="b">
        <v>0</v>
      </c>
      <c r="I129" s="13" t="b">
        <v>0</v>
      </c>
      <c r="J129" s="13" t="b">
        <v>0</v>
      </c>
      <c r="K129" s="105">
        <v>25</v>
      </c>
      <c r="L129" s="105">
        <f t="shared" si="1"/>
        <v>6</v>
      </c>
      <c r="M129" s="105">
        <v>19</v>
      </c>
    </row>
    <row r="130" spans="2:13">
      <c r="B130" s="125">
        <v>46125</v>
      </c>
      <c r="C130" s="16" t="s">
        <v>69</v>
      </c>
      <c r="D130" s="31" t="s">
        <v>264</v>
      </c>
      <c r="E130" s="32" t="s">
        <v>265</v>
      </c>
      <c r="F130" s="13" t="b">
        <v>1</v>
      </c>
      <c r="G130" s="13" t="b">
        <v>0</v>
      </c>
      <c r="H130" s="13" t="b">
        <v>0</v>
      </c>
      <c r="I130" s="13" t="b">
        <v>0</v>
      </c>
      <c r="J130" s="13" t="b">
        <v>0</v>
      </c>
      <c r="K130" s="76">
        <v>13</v>
      </c>
      <c r="L130" s="105">
        <f t="shared" si="1"/>
        <v>13</v>
      </c>
      <c r="M130" s="76"/>
    </row>
    <row r="131" spans="2:13">
      <c r="B131" s="125">
        <v>46035</v>
      </c>
      <c r="C131" s="16" t="s">
        <v>72</v>
      </c>
      <c r="D131" s="31" t="s">
        <v>266</v>
      </c>
      <c r="E131" s="32" t="s">
        <v>248</v>
      </c>
      <c r="F131" s="13" t="b">
        <v>1</v>
      </c>
      <c r="G131" s="13" t="b">
        <v>1</v>
      </c>
      <c r="H131" s="13" t="b">
        <v>0</v>
      </c>
      <c r="I131" s="13" t="b">
        <v>0</v>
      </c>
      <c r="J131" s="13" t="b">
        <v>0</v>
      </c>
      <c r="K131" s="105">
        <v>16</v>
      </c>
      <c r="L131" s="105">
        <f t="shared" si="1"/>
        <v>5</v>
      </c>
      <c r="M131" s="105">
        <v>11</v>
      </c>
    </row>
    <row r="132" spans="2:13">
      <c r="B132" s="125">
        <v>46036</v>
      </c>
      <c r="C132" s="16" t="s">
        <v>267</v>
      </c>
      <c r="D132" s="31" t="s">
        <v>268</v>
      </c>
      <c r="E132" s="32" t="s">
        <v>231</v>
      </c>
      <c r="F132" s="13" t="b">
        <v>1</v>
      </c>
      <c r="G132" s="13" t="b">
        <v>1</v>
      </c>
      <c r="H132" s="13" t="b">
        <v>0</v>
      </c>
      <c r="I132" s="13" t="b">
        <v>0</v>
      </c>
      <c r="J132" s="13" t="b">
        <v>0</v>
      </c>
      <c r="K132" s="76">
        <v>14</v>
      </c>
      <c r="L132" s="105">
        <f t="shared" si="1"/>
        <v>7</v>
      </c>
      <c r="M132" s="76">
        <v>7</v>
      </c>
    </row>
    <row r="133" spans="2:13">
      <c r="B133" s="125">
        <v>46048</v>
      </c>
      <c r="C133" s="16" t="s">
        <v>63</v>
      </c>
      <c r="D133" s="31" t="s">
        <v>269</v>
      </c>
      <c r="E133" s="32" t="s">
        <v>270</v>
      </c>
      <c r="F133" s="13" t="b">
        <v>1</v>
      </c>
      <c r="G133" s="13" t="b">
        <v>1</v>
      </c>
      <c r="H133" s="13" t="b">
        <v>0</v>
      </c>
      <c r="I133" s="13" t="b">
        <v>0</v>
      </c>
      <c r="J133" s="13" t="b">
        <v>0</v>
      </c>
      <c r="K133" s="105">
        <v>31</v>
      </c>
      <c r="L133" s="105">
        <f t="shared" si="1"/>
        <v>10</v>
      </c>
      <c r="M133" s="105">
        <v>21</v>
      </c>
    </row>
    <row r="134" spans="2:13">
      <c r="B134" s="125"/>
      <c r="C134" s="16"/>
      <c r="D134" s="31" t="s">
        <v>271</v>
      </c>
      <c r="E134" s="32" t="s">
        <v>272</v>
      </c>
      <c r="F134" s="13" t="b">
        <v>0</v>
      </c>
      <c r="G134" s="13" t="b">
        <v>0</v>
      </c>
      <c r="H134" s="13" t="b">
        <v>0</v>
      </c>
      <c r="I134" s="13" t="b">
        <v>0</v>
      </c>
      <c r="J134" s="13" t="b">
        <v>0</v>
      </c>
      <c r="K134" s="76"/>
      <c r="L134" s="105">
        <f t="shared" si="1"/>
        <v>0</v>
      </c>
      <c r="M134" s="76"/>
    </row>
    <row r="135" spans="2:13" ht="24">
      <c r="B135" s="125">
        <v>46037</v>
      </c>
      <c r="C135" s="16" t="s">
        <v>85</v>
      </c>
      <c r="D135" s="31" t="s">
        <v>273</v>
      </c>
      <c r="E135" s="32" t="s">
        <v>274</v>
      </c>
      <c r="F135" s="13" t="b">
        <v>1</v>
      </c>
      <c r="G135" s="13" t="b">
        <v>1</v>
      </c>
      <c r="H135" s="13" t="b">
        <v>0</v>
      </c>
      <c r="I135" s="13" t="b">
        <v>0</v>
      </c>
      <c r="J135" s="13" t="b">
        <v>0</v>
      </c>
      <c r="K135" s="105">
        <v>8</v>
      </c>
      <c r="L135" s="105">
        <f t="shared" ref="L135:L198" si="2">K135-M135</f>
        <v>1</v>
      </c>
      <c r="M135" s="105">
        <v>7</v>
      </c>
    </row>
    <row r="136" spans="2:13" ht="24">
      <c r="B136" s="125">
        <v>46035</v>
      </c>
      <c r="C136" s="16" t="s">
        <v>275</v>
      </c>
      <c r="D136" s="31" t="s">
        <v>276</v>
      </c>
      <c r="E136" s="32" t="s">
        <v>277</v>
      </c>
      <c r="F136" s="13" t="b">
        <v>1</v>
      </c>
      <c r="G136" s="13" t="b">
        <v>1</v>
      </c>
      <c r="H136" s="13" t="b">
        <v>0</v>
      </c>
      <c r="I136" s="13" t="b">
        <v>0</v>
      </c>
      <c r="J136" s="13" t="b">
        <v>0</v>
      </c>
      <c r="K136" s="76">
        <v>21</v>
      </c>
      <c r="L136" s="105">
        <f t="shared" si="2"/>
        <v>5</v>
      </c>
      <c r="M136" s="76">
        <v>16</v>
      </c>
    </row>
    <row r="137" spans="2:13">
      <c r="B137" s="125">
        <v>46035</v>
      </c>
      <c r="C137" s="16" t="s">
        <v>85</v>
      </c>
      <c r="D137" s="31" t="s">
        <v>278</v>
      </c>
      <c r="E137" s="32" t="s">
        <v>279</v>
      </c>
      <c r="F137" s="13" t="b">
        <v>1</v>
      </c>
      <c r="G137" s="13" t="b">
        <v>1</v>
      </c>
      <c r="H137" s="13" t="b">
        <v>0</v>
      </c>
      <c r="I137" s="13" t="b">
        <v>0</v>
      </c>
      <c r="J137" s="13" t="b">
        <v>0</v>
      </c>
      <c r="K137" s="105">
        <v>19</v>
      </c>
      <c r="L137" s="105">
        <f t="shared" si="2"/>
        <v>7</v>
      </c>
      <c r="M137" s="105">
        <v>12</v>
      </c>
    </row>
    <row r="138" spans="2:13">
      <c r="B138" s="125">
        <v>46035</v>
      </c>
      <c r="C138" s="16" t="s">
        <v>85</v>
      </c>
      <c r="D138" s="31" t="s">
        <v>280</v>
      </c>
      <c r="E138" s="32" t="s">
        <v>281</v>
      </c>
      <c r="F138" s="13" t="b">
        <v>1</v>
      </c>
      <c r="G138" s="13" t="b">
        <v>1</v>
      </c>
      <c r="H138" s="13" t="b">
        <v>0</v>
      </c>
      <c r="I138" s="13" t="b">
        <v>0</v>
      </c>
      <c r="J138" s="13" t="b">
        <v>0</v>
      </c>
      <c r="K138" s="76">
        <v>27</v>
      </c>
      <c r="L138" s="105">
        <f t="shared" si="2"/>
        <v>21</v>
      </c>
      <c r="M138" s="76">
        <v>6</v>
      </c>
    </row>
    <row r="139" spans="2:13">
      <c r="B139" s="125">
        <v>46035</v>
      </c>
      <c r="C139" s="16" t="s">
        <v>85</v>
      </c>
      <c r="D139" s="31" t="s">
        <v>282</v>
      </c>
      <c r="E139" s="32" t="s">
        <v>283</v>
      </c>
      <c r="F139" s="13" t="b">
        <v>1</v>
      </c>
      <c r="G139" s="13" t="b">
        <v>1</v>
      </c>
      <c r="H139" s="13" t="b">
        <v>0</v>
      </c>
      <c r="I139" s="13" t="b">
        <v>0</v>
      </c>
      <c r="J139" s="13" t="b">
        <v>0</v>
      </c>
      <c r="K139" s="105">
        <v>17</v>
      </c>
      <c r="L139" s="105">
        <f t="shared" si="2"/>
        <v>0</v>
      </c>
      <c r="M139" s="105">
        <v>17</v>
      </c>
    </row>
    <row r="140" spans="2:13">
      <c r="B140" s="125">
        <v>46035</v>
      </c>
      <c r="C140" s="16" t="s">
        <v>85</v>
      </c>
      <c r="D140" s="31" t="s">
        <v>284</v>
      </c>
      <c r="E140" s="32" t="s">
        <v>285</v>
      </c>
      <c r="F140" s="13" t="b">
        <v>1</v>
      </c>
      <c r="G140" s="13" t="b">
        <v>1</v>
      </c>
      <c r="H140" s="13" t="b">
        <v>0</v>
      </c>
      <c r="I140" s="13" t="b">
        <v>0</v>
      </c>
      <c r="J140" s="13" t="b">
        <v>0</v>
      </c>
      <c r="K140" s="76">
        <v>14</v>
      </c>
      <c r="L140" s="105">
        <f t="shared" si="2"/>
        <v>3</v>
      </c>
      <c r="M140" s="76">
        <v>11</v>
      </c>
    </row>
    <row r="141" spans="2:13">
      <c r="B141" s="125">
        <v>46035</v>
      </c>
      <c r="C141" s="16" t="s">
        <v>85</v>
      </c>
      <c r="D141" s="31" t="s">
        <v>286</v>
      </c>
      <c r="E141" s="32" t="s">
        <v>287</v>
      </c>
      <c r="F141" s="13" t="b">
        <v>1</v>
      </c>
      <c r="G141" s="13" t="b">
        <v>1</v>
      </c>
      <c r="H141" s="13" t="b">
        <v>0</v>
      </c>
      <c r="I141" s="13" t="b">
        <v>0</v>
      </c>
      <c r="J141" s="13" t="b">
        <v>0</v>
      </c>
      <c r="K141" s="105">
        <v>8</v>
      </c>
      <c r="L141" s="105">
        <f t="shared" si="2"/>
        <v>1</v>
      </c>
      <c r="M141" s="105">
        <v>7</v>
      </c>
    </row>
    <row r="142" spans="2:13">
      <c r="B142" s="125">
        <v>46035</v>
      </c>
      <c r="C142" s="16" t="s">
        <v>56</v>
      </c>
      <c r="D142" s="31" t="s">
        <v>288</v>
      </c>
      <c r="E142" s="32" t="s">
        <v>231</v>
      </c>
      <c r="F142" s="13" t="b">
        <v>1</v>
      </c>
      <c r="G142" s="13" t="b">
        <v>0</v>
      </c>
      <c r="H142" s="13" t="b">
        <v>0</v>
      </c>
      <c r="I142" s="13" t="b">
        <v>0</v>
      </c>
      <c r="J142" s="13" t="b">
        <v>0</v>
      </c>
      <c r="K142" s="76">
        <v>22</v>
      </c>
      <c r="L142" s="105">
        <f t="shared" si="2"/>
        <v>21</v>
      </c>
      <c r="M142" s="76">
        <v>1</v>
      </c>
    </row>
    <row r="143" spans="2:13">
      <c r="B143" s="125">
        <v>46035</v>
      </c>
      <c r="C143" s="16" t="s">
        <v>56</v>
      </c>
      <c r="D143" s="31" t="s">
        <v>289</v>
      </c>
      <c r="E143" s="32" t="s">
        <v>290</v>
      </c>
      <c r="F143" s="13" t="b">
        <v>1</v>
      </c>
      <c r="G143" s="13" t="b">
        <v>0</v>
      </c>
      <c r="H143" s="13" t="b">
        <v>0</v>
      </c>
      <c r="I143" s="13" t="b">
        <v>0</v>
      </c>
      <c r="J143" s="13" t="b">
        <v>0</v>
      </c>
      <c r="K143" s="105">
        <v>29</v>
      </c>
      <c r="L143" s="105">
        <f t="shared" si="2"/>
        <v>24</v>
      </c>
      <c r="M143" s="105">
        <v>5</v>
      </c>
    </row>
    <row r="144" spans="2:13">
      <c r="B144" s="125">
        <v>46035</v>
      </c>
      <c r="C144" s="16" t="s">
        <v>56</v>
      </c>
      <c r="D144" s="31" t="s">
        <v>291</v>
      </c>
      <c r="E144" s="32" t="s">
        <v>292</v>
      </c>
      <c r="F144" s="13" t="b">
        <v>1</v>
      </c>
      <c r="G144" s="13" t="b">
        <v>1</v>
      </c>
      <c r="H144" s="13" t="b">
        <v>0</v>
      </c>
      <c r="I144" s="13" t="b">
        <v>0</v>
      </c>
      <c r="J144" s="13" t="b">
        <v>0</v>
      </c>
      <c r="K144" s="76">
        <v>10</v>
      </c>
      <c r="L144" s="105">
        <f t="shared" si="2"/>
        <v>5</v>
      </c>
      <c r="M144" s="76">
        <v>5</v>
      </c>
    </row>
    <row r="145" spans="2:13">
      <c r="B145" s="125">
        <v>46035</v>
      </c>
      <c r="C145" s="16" t="s">
        <v>63</v>
      </c>
      <c r="D145" s="31" t="s">
        <v>293</v>
      </c>
      <c r="E145" s="32" t="s">
        <v>294</v>
      </c>
      <c r="F145" s="13" t="b">
        <v>1</v>
      </c>
      <c r="G145" s="13" t="b">
        <v>1</v>
      </c>
      <c r="H145" s="13" t="b">
        <v>0</v>
      </c>
      <c r="I145" s="13" t="b">
        <v>0</v>
      </c>
      <c r="J145" s="13" t="b">
        <v>0</v>
      </c>
      <c r="K145" s="105">
        <v>21</v>
      </c>
      <c r="L145" s="105">
        <f t="shared" si="2"/>
        <v>5</v>
      </c>
      <c r="M145" s="105">
        <v>16</v>
      </c>
    </row>
    <row r="146" spans="2:13">
      <c r="B146" s="125">
        <v>46035</v>
      </c>
      <c r="C146" s="16" t="s">
        <v>85</v>
      </c>
      <c r="D146" s="31" t="s">
        <v>295</v>
      </c>
      <c r="E146" s="32" t="s">
        <v>296</v>
      </c>
      <c r="F146" s="13" t="b">
        <v>1</v>
      </c>
      <c r="G146" s="13" t="b">
        <v>1</v>
      </c>
      <c r="H146" s="13" t="b">
        <v>0</v>
      </c>
      <c r="I146" s="13" t="b">
        <v>0</v>
      </c>
      <c r="J146" s="13" t="b">
        <v>0</v>
      </c>
      <c r="K146" s="76">
        <v>28</v>
      </c>
      <c r="L146" s="105">
        <f t="shared" si="2"/>
        <v>5</v>
      </c>
      <c r="M146" s="76">
        <v>23</v>
      </c>
    </row>
    <row r="147" spans="2:13" ht="24">
      <c r="B147" s="125">
        <v>46035</v>
      </c>
      <c r="C147" s="16" t="s">
        <v>85</v>
      </c>
      <c r="D147" s="31" t="s">
        <v>297</v>
      </c>
      <c r="E147" s="32" t="s">
        <v>298</v>
      </c>
      <c r="F147" s="13" t="b">
        <v>1</v>
      </c>
      <c r="G147" s="13" t="b">
        <v>1</v>
      </c>
      <c r="H147" s="13" t="b">
        <v>0</v>
      </c>
      <c r="I147" s="13" t="b">
        <v>0</v>
      </c>
      <c r="J147" s="13" t="b">
        <v>0</v>
      </c>
      <c r="K147" s="105">
        <v>7</v>
      </c>
      <c r="L147" s="105">
        <f t="shared" si="2"/>
        <v>2</v>
      </c>
      <c r="M147" s="105">
        <v>5</v>
      </c>
    </row>
    <row r="148" spans="2:13" ht="52.5" customHeight="1">
      <c r="B148" s="125"/>
      <c r="C148" s="16"/>
      <c r="D148" s="31" t="s">
        <v>299</v>
      </c>
      <c r="E148" s="114" t="s">
        <v>300</v>
      </c>
      <c r="F148" s="13" t="b">
        <v>0</v>
      </c>
      <c r="G148" s="13" t="b">
        <v>0</v>
      </c>
      <c r="H148" s="13" t="b">
        <v>0</v>
      </c>
      <c r="I148" s="13" t="b">
        <v>0</v>
      </c>
      <c r="J148" s="13" t="b">
        <v>0</v>
      </c>
      <c r="K148" s="76"/>
      <c r="L148" s="105">
        <f t="shared" si="2"/>
        <v>0</v>
      </c>
      <c r="M148" s="76"/>
    </row>
    <row r="149" spans="2:13">
      <c r="B149" s="125">
        <v>46035</v>
      </c>
      <c r="C149" s="16" t="s">
        <v>88</v>
      </c>
      <c r="D149" s="31" t="s">
        <v>301</v>
      </c>
      <c r="E149" s="32" t="s">
        <v>302</v>
      </c>
      <c r="F149" s="13" t="b">
        <v>1</v>
      </c>
      <c r="G149" s="13" t="b">
        <v>1</v>
      </c>
      <c r="H149" s="13" t="b">
        <v>0</v>
      </c>
      <c r="I149" s="13" t="b">
        <v>0</v>
      </c>
      <c r="J149" s="13" t="b">
        <v>0</v>
      </c>
      <c r="K149" s="105">
        <v>12</v>
      </c>
      <c r="L149" s="105">
        <f t="shared" si="2"/>
        <v>5</v>
      </c>
      <c r="M149" s="105">
        <v>7</v>
      </c>
    </row>
    <row r="150" spans="2:13">
      <c r="B150" s="125">
        <v>46035</v>
      </c>
      <c r="C150" s="16" t="s">
        <v>72</v>
      </c>
      <c r="D150" s="31" t="s">
        <v>303</v>
      </c>
      <c r="E150" s="32" t="s">
        <v>304</v>
      </c>
      <c r="F150" s="13" t="b">
        <v>1</v>
      </c>
      <c r="G150" s="13" t="b">
        <v>1</v>
      </c>
      <c r="H150" s="13" t="b">
        <v>0</v>
      </c>
      <c r="I150" s="13" t="b">
        <v>0</v>
      </c>
      <c r="J150" s="13" t="b">
        <v>0</v>
      </c>
      <c r="K150" s="76">
        <v>15</v>
      </c>
      <c r="L150" s="105">
        <f t="shared" si="2"/>
        <v>1</v>
      </c>
      <c r="M150" s="76">
        <v>14</v>
      </c>
    </row>
    <row r="151" spans="2:13">
      <c r="B151" s="125">
        <v>46035</v>
      </c>
      <c r="C151" s="16" t="s">
        <v>72</v>
      </c>
      <c r="D151" s="151" t="s">
        <v>305</v>
      </c>
      <c r="E151" s="107" t="s">
        <v>306</v>
      </c>
      <c r="F151" s="13" t="b">
        <v>1</v>
      </c>
      <c r="G151" s="13" t="b">
        <v>0</v>
      </c>
      <c r="H151" s="13" t="b">
        <v>0</v>
      </c>
      <c r="I151" s="13" t="b">
        <v>0</v>
      </c>
      <c r="J151" s="13" t="b">
        <v>0</v>
      </c>
      <c r="K151" s="105">
        <v>8</v>
      </c>
      <c r="L151" s="105">
        <f t="shared" si="2"/>
        <v>6</v>
      </c>
      <c r="M151" s="105">
        <v>2</v>
      </c>
    </row>
    <row r="152" spans="2:13">
      <c r="B152" s="125">
        <v>46035</v>
      </c>
      <c r="C152" s="16" t="s">
        <v>88</v>
      </c>
      <c r="D152" s="31" t="s">
        <v>307</v>
      </c>
      <c r="E152" s="32" t="s">
        <v>308</v>
      </c>
      <c r="F152" s="13" t="b">
        <v>1</v>
      </c>
      <c r="G152" s="13" t="b">
        <v>1</v>
      </c>
      <c r="H152" s="13" t="b">
        <v>0</v>
      </c>
      <c r="I152" s="13" t="b">
        <v>0</v>
      </c>
      <c r="J152" s="13" t="b">
        <v>0</v>
      </c>
      <c r="K152" s="76">
        <v>35</v>
      </c>
      <c r="L152" s="105">
        <f t="shared" si="2"/>
        <v>18</v>
      </c>
      <c r="M152" s="76">
        <v>17</v>
      </c>
    </row>
    <row r="153" spans="2:13">
      <c r="B153" s="125">
        <v>46124</v>
      </c>
      <c r="C153" s="16" t="s">
        <v>56</v>
      </c>
      <c r="D153" s="31" t="s">
        <v>309</v>
      </c>
      <c r="E153" s="32" t="s">
        <v>310</v>
      </c>
      <c r="F153" s="13" t="b">
        <v>1</v>
      </c>
      <c r="G153" s="13" t="b">
        <v>1</v>
      </c>
      <c r="H153" s="13" t="b">
        <v>0</v>
      </c>
      <c r="I153" s="13" t="b">
        <v>0</v>
      </c>
      <c r="J153" s="13" t="b">
        <v>0</v>
      </c>
      <c r="K153" s="105">
        <v>8</v>
      </c>
      <c r="L153" s="105">
        <f t="shared" si="2"/>
        <v>3</v>
      </c>
      <c r="M153" s="105">
        <v>5</v>
      </c>
    </row>
    <row r="154" spans="2:13">
      <c r="B154" s="125">
        <v>46042</v>
      </c>
      <c r="C154" s="16" t="s">
        <v>267</v>
      </c>
      <c r="D154" s="31" t="s">
        <v>311</v>
      </c>
      <c r="E154" s="32" t="s">
        <v>312</v>
      </c>
      <c r="F154" s="13" t="b">
        <v>1</v>
      </c>
      <c r="G154" s="13" t="b">
        <v>1</v>
      </c>
      <c r="H154" s="13" t="b">
        <v>0</v>
      </c>
      <c r="I154" s="13" t="b">
        <v>0</v>
      </c>
      <c r="J154" s="13" t="b">
        <v>0</v>
      </c>
      <c r="K154" s="76">
        <v>25</v>
      </c>
      <c r="L154" s="105">
        <f t="shared" si="2"/>
        <v>3</v>
      </c>
      <c r="M154" s="76">
        <v>22</v>
      </c>
    </row>
    <row r="155" spans="2:13">
      <c r="B155" s="125">
        <v>46042</v>
      </c>
      <c r="C155" s="16" t="s">
        <v>66</v>
      </c>
      <c r="D155" s="31" t="s">
        <v>313</v>
      </c>
      <c r="E155" s="32" t="s">
        <v>314</v>
      </c>
      <c r="F155" s="13" t="b">
        <v>1</v>
      </c>
      <c r="G155" s="13" t="b">
        <v>1</v>
      </c>
      <c r="H155" s="13" t="b">
        <v>0</v>
      </c>
      <c r="I155" s="13" t="b">
        <v>0</v>
      </c>
      <c r="J155" s="13" t="b">
        <v>0</v>
      </c>
      <c r="K155" s="105">
        <v>31</v>
      </c>
      <c r="L155" s="105">
        <f t="shared" si="2"/>
        <v>14</v>
      </c>
      <c r="M155" s="105">
        <v>17</v>
      </c>
    </row>
    <row r="156" spans="2:13">
      <c r="B156" s="125">
        <v>46042</v>
      </c>
      <c r="C156" s="16" t="s">
        <v>69</v>
      </c>
      <c r="D156" s="31" t="s">
        <v>315</v>
      </c>
      <c r="E156" s="32" t="s">
        <v>316</v>
      </c>
      <c r="F156" s="13" t="b">
        <v>1</v>
      </c>
      <c r="G156" s="13" t="b">
        <v>1</v>
      </c>
      <c r="H156" s="13" t="b">
        <v>0</v>
      </c>
      <c r="I156" s="13" t="b">
        <v>0</v>
      </c>
      <c r="J156" s="13" t="b">
        <v>0</v>
      </c>
      <c r="K156" s="76">
        <v>34</v>
      </c>
      <c r="L156" s="105">
        <f t="shared" si="2"/>
        <v>8</v>
      </c>
      <c r="M156" s="76">
        <v>26</v>
      </c>
    </row>
    <row r="157" spans="2:13">
      <c r="B157" s="125">
        <v>46042</v>
      </c>
      <c r="C157" s="16" t="s">
        <v>53</v>
      </c>
      <c r="D157" s="31" t="s">
        <v>317</v>
      </c>
      <c r="E157" s="32" t="s">
        <v>318</v>
      </c>
      <c r="F157" s="13" t="b">
        <v>1</v>
      </c>
      <c r="G157" s="13" t="b">
        <v>0</v>
      </c>
      <c r="H157" s="13" t="b">
        <v>0</v>
      </c>
      <c r="I157" s="13" t="b">
        <v>0</v>
      </c>
      <c r="J157" s="13" t="b">
        <v>0</v>
      </c>
      <c r="K157" s="105"/>
      <c r="L157" s="105">
        <f t="shared" si="2"/>
        <v>0</v>
      </c>
      <c r="M157" s="105"/>
    </row>
    <row r="158" spans="2:13" ht="24">
      <c r="B158" s="125">
        <v>46042</v>
      </c>
      <c r="C158" s="16" t="s">
        <v>63</v>
      </c>
      <c r="D158" s="31" t="s">
        <v>319</v>
      </c>
      <c r="E158" s="32" t="s">
        <v>320</v>
      </c>
      <c r="F158" s="13" t="b">
        <v>1</v>
      </c>
      <c r="G158" s="13" t="b">
        <v>1</v>
      </c>
      <c r="H158" s="13" t="b">
        <v>0</v>
      </c>
      <c r="I158" s="13" t="b">
        <v>0</v>
      </c>
      <c r="J158" s="13" t="b">
        <v>0</v>
      </c>
      <c r="K158" s="76">
        <v>11</v>
      </c>
      <c r="L158" s="105">
        <f t="shared" si="2"/>
        <v>3</v>
      </c>
      <c r="M158" s="76">
        <v>8</v>
      </c>
    </row>
    <row r="159" spans="2:13">
      <c r="B159" s="125"/>
      <c r="C159" s="16"/>
      <c r="D159" s="31" t="s">
        <v>321</v>
      </c>
      <c r="E159" s="32" t="s">
        <v>322</v>
      </c>
      <c r="F159" s="13" t="b">
        <v>0</v>
      </c>
      <c r="G159" s="13" t="b">
        <v>0</v>
      </c>
      <c r="H159" s="13" t="b">
        <v>0</v>
      </c>
      <c r="I159" s="13" t="b">
        <v>0</v>
      </c>
      <c r="J159" s="13" t="b">
        <v>0</v>
      </c>
      <c r="K159" s="105"/>
      <c r="L159" s="105">
        <f t="shared" si="2"/>
        <v>0</v>
      </c>
      <c r="M159" s="105"/>
    </row>
    <row r="160" spans="2:13">
      <c r="B160" s="125">
        <v>46042</v>
      </c>
      <c r="C160" s="16" t="s">
        <v>63</v>
      </c>
      <c r="D160" s="31" t="s">
        <v>321</v>
      </c>
      <c r="E160" s="16" t="s">
        <v>323</v>
      </c>
      <c r="F160" s="13" t="b">
        <v>1</v>
      </c>
      <c r="G160" s="13" t="b">
        <v>1</v>
      </c>
      <c r="H160" s="13" t="b">
        <v>0</v>
      </c>
      <c r="I160" s="13" t="b">
        <v>0</v>
      </c>
      <c r="J160" s="13" t="b">
        <v>0</v>
      </c>
      <c r="K160" s="76">
        <v>5</v>
      </c>
      <c r="L160" s="105">
        <f t="shared" si="2"/>
        <v>3</v>
      </c>
      <c r="M160" s="76">
        <v>2</v>
      </c>
    </row>
    <row r="161" spans="2:13">
      <c r="B161" s="125"/>
      <c r="C161" s="16"/>
      <c r="D161" s="31" t="s">
        <v>321</v>
      </c>
      <c r="E161" s="32" t="s">
        <v>324</v>
      </c>
      <c r="F161" s="13" t="b">
        <v>0</v>
      </c>
      <c r="G161" s="13" t="b">
        <v>0</v>
      </c>
      <c r="H161" s="13" t="b">
        <v>0</v>
      </c>
      <c r="I161" s="13" t="b">
        <v>0</v>
      </c>
      <c r="J161" s="13" t="b">
        <v>0</v>
      </c>
      <c r="K161" s="105"/>
      <c r="L161" s="105">
        <f t="shared" si="2"/>
        <v>0</v>
      </c>
      <c r="M161" s="105"/>
    </row>
    <row r="162" spans="2:13">
      <c r="B162" s="125"/>
      <c r="C162" s="16"/>
      <c r="D162" s="31" t="s">
        <v>321</v>
      </c>
      <c r="E162" s="32" t="s">
        <v>272</v>
      </c>
      <c r="F162" s="13" t="b">
        <v>0</v>
      </c>
      <c r="G162" s="13" t="b">
        <v>0</v>
      </c>
      <c r="H162" s="13" t="b">
        <v>0</v>
      </c>
      <c r="I162" s="13" t="b">
        <v>0</v>
      </c>
      <c r="J162" s="13" t="b">
        <v>0</v>
      </c>
      <c r="K162" s="76"/>
      <c r="L162" s="105">
        <f t="shared" si="2"/>
        <v>0</v>
      </c>
      <c r="M162" s="76"/>
    </row>
    <row r="163" spans="2:13">
      <c r="B163" s="125"/>
      <c r="C163" s="16"/>
      <c r="D163" s="31" t="s">
        <v>321</v>
      </c>
      <c r="E163" s="32" t="s">
        <v>325</v>
      </c>
      <c r="F163" s="13" t="b">
        <v>0</v>
      </c>
      <c r="G163" s="13" t="b">
        <v>0</v>
      </c>
      <c r="H163" s="13" t="b">
        <v>0</v>
      </c>
      <c r="I163" s="13" t="b">
        <v>0</v>
      </c>
      <c r="J163" s="13" t="b">
        <v>0</v>
      </c>
      <c r="K163" s="105"/>
      <c r="L163" s="105">
        <f t="shared" si="2"/>
        <v>0</v>
      </c>
      <c r="M163" s="105"/>
    </row>
    <row r="164" spans="2:13" ht="24">
      <c r="B164" s="125"/>
      <c r="C164" s="16"/>
      <c r="D164" s="31" t="s">
        <v>321</v>
      </c>
      <c r="E164" s="32" t="s">
        <v>326</v>
      </c>
      <c r="F164" s="13" t="b">
        <v>0</v>
      </c>
      <c r="G164" s="13" t="b">
        <v>0</v>
      </c>
      <c r="H164" s="13" t="b">
        <v>0</v>
      </c>
      <c r="I164" s="13" t="b">
        <v>0</v>
      </c>
      <c r="J164" s="13" t="b">
        <v>0</v>
      </c>
      <c r="K164" s="76"/>
      <c r="L164" s="105">
        <f t="shared" si="2"/>
        <v>0</v>
      </c>
      <c r="M164" s="76"/>
    </row>
    <row r="165" spans="2:13">
      <c r="B165" s="125"/>
      <c r="C165" s="16"/>
      <c r="D165" s="110" t="s">
        <v>327</v>
      </c>
      <c r="E165" s="107" t="s">
        <v>328</v>
      </c>
      <c r="F165" s="13" t="b">
        <v>1</v>
      </c>
      <c r="G165" s="13" t="b">
        <v>0</v>
      </c>
      <c r="H165" s="13" t="b">
        <v>0</v>
      </c>
      <c r="I165" s="13" t="b">
        <v>0</v>
      </c>
      <c r="J165" s="13" t="b">
        <v>0</v>
      </c>
      <c r="K165" s="105">
        <v>4</v>
      </c>
      <c r="L165" s="105">
        <f t="shared" si="2"/>
        <v>3</v>
      </c>
      <c r="M165" s="105">
        <v>1</v>
      </c>
    </row>
    <row r="166" spans="2:13">
      <c r="B166" s="125">
        <v>46042</v>
      </c>
      <c r="C166" s="16" t="s">
        <v>69</v>
      </c>
      <c r="D166" s="31" t="s">
        <v>329</v>
      </c>
      <c r="E166" s="32" t="s">
        <v>330</v>
      </c>
      <c r="F166" s="13" t="b">
        <v>1</v>
      </c>
      <c r="G166" s="13" t="b">
        <v>1</v>
      </c>
      <c r="H166" s="13" t="b">
        <v>0</v>
      </c>
      <c r="I166" s="13" t="b">
        <v>0</v>
      </c>
      <c r="J166" s="13" t="b">
        <v>0</v>
      </c>
      <c r="K166" s="76">
        <v>22</v>
      </c>
      <c r="L166" s="105">
        <f t="shared" si="2"/>
        <v>10</v>
      </c>
      <c r="M166" s="76">
        <v>12</v>
      </c>
    </row>
    <row r="167" spans="2:13" ht="24">
      <c r="B167" s="125"/>
      <c r="C167" s="16"/>
      <c r="D167" s="31" t="s">
        <v>331</v>
      </c>
      <c r="E167" s="32" t="s">
        <v>332</v>
      </c>
      <c r="F167" s="13" t="b">
        <v>0</v>
      </c>
      <c r="G167" s="13" t="b">
        <v>0</v>
      </c>
      <c r="H167" s="13" t="b">
        <v>0</v>
      </c>
      <c r="I167" s="13" t="b">
        <v>0</v>
      </c>
      <c r="J167" s="13" t="b">
        <v>0</v>
      </c>
      <c r="K167" s="105"/>
      <c r="L167" s="105">
        <f t="shared" si="2"/>
        <v>-1</v>
      </c>
      <c r="M167" s="105">
        <v>1</v>
      </c>
    </row>
    <row r="168" spans="2:13" ht="24">
      <c r="B168" s="125"/>
      <c r="C168" s="16"/>
      <c r="D168" s="31" t="s">
        <v>333</v>
      </c>
      <c r="E168" s="32" t="s">
        <v>334</v>
      </c>
      <c r="F168" s="13" t="b">
        <v>0</v>
      </c>
      <c r="G168" s="13" t="b">
        <v>0</v>
      </c>
      <c r="H168" s="13" t="b">
        <v>0</v>
      </c>
      <c r="I168" s="13" t="b">
        <v>0</v>
      </c>
      <c r="J168" s="13" t="b">
        <v>0</v>
      </c>
      <c r="K168" s="76"/>
      <c r="L168" s="105">
        <f t="shared" si="2"/>
        <v>0</v>
      </c>
      <c r="M168" s="76"/>
    </row>
    <row r="169" spans="2:13">
      <c r="B169" s="125"/>
      <c r="C169" s="16"/>
      <c r="D169" s="31" t="s">
        <v>335</v>
      </c>
      <c r="E169" s="32" t="s">
        <v>272</v>
      </c>
      <c r="F169" s="13" t="b">
        <v>0</v>
      </c>
      <c r="G169" s="13" t="b">
        <v>0</v>
      </c>
      <c r="H169" s="13" t="b">
        <v>0</v>
      </c>
      <c r="I169" s="13" t="b">
        <v>0</v>
      </c>
      <c r="J169" s="13" t="b">
        <v>0</v>
      </c>
      <c r="K169" s="105"/>
      <c r="L169" s="105">
        <f t="shared" si="2"/>
        <v>0</v>
      </c>
      <c r="M169" s="105"/>
    </row>
    <row r="170" spans="2:13">
      <c r="B170" s="125">
        <v>46042</v>
      </c>
      <c r="C170" s="16" t="s">
        <v>56</v>
      </c>
      <c r="D170" s="31" t="s">
        <v>336</v>
      </c>
      <c r="E170" s="32" t="s">
        <v>337</v>
      </c>
      <c r="F170" s="13" t="b">
        <v>1</v>
      </c>
      <c r="G170" s="13" t="b">
        <v>0</v>
      </c>
      <c r="H170" s="13" t="b">
        <v>0</v>
      </c>
      <c r="I170" s="13" t="b">
        <v>0</v>
      </c>
      <c r="J170" s="13" t="b">
        <v>0</v>
      </c>
      <c r="K170" s="76">
        <v>11</v>
      </c>
      <c r="L170" s="105">
        <f t="shared" si="2"/>
        <v>11</v>
      </c>
      <c r="M170" s="76"/>
    </row>
    <row r="171" spans="2:13" ht="24">
      <c r="B171" s="125">
        <v>46042</v>
      </c>
      <c r="C171" s="16" t="s">
        <v>56</v>
      </c>
      <c r="D171" s="31" t="s">
        <v>338</v>
      </c>
      <c r="E171" s="32" t="s">
        <v>339</v>
      </c>
      <c r="F171" s="13" t="b">
        <v>1</v>
      </c>
      <c r="G171" s="13" t="b">
        <v>0</v>
      </c>
      <c r="H171" s="13" t="b">
        <v>0</v>
      </c>
      <c r="I171" s="13" t="b">
        <v>0</v>
      </c>
      <c r="J171" s="13" t="b">
        <v>0</v>
      </c>
      <c r="K171" s="105">
        <v>24</v>
      </c>
      <c r="L171" s="105">
        <f t="shared" si="2"/>
        <v>23</v>
      </c>
      <c r="M171" s="105">
        <v>1</v>
      </c>
    </row>
    <row r="172" spans="2:13">
      <c r="B172" s="125"/>
      <c r="C172" s="16"/>
      <c r="D172" s="31" t="s">
        <v>340</v>
      </c>
      <c r="E172" s="107" t="s">
        <v>341</v>
      </c>
      <c r="F172" s="13" t="b">
        <v>1</v>
      </c>
      <c r="G172" s="13" t="b">
        <v>0</v>
      </c>
      <c r="H172" s="13" t="b">
        <v>0</v>
      </c>
      <c r="I172" s="13" t="b">
        <v>0</v>
      </c>
      <c r="J172" s="13" t="b">
        <v>0</v>
      </c>
      <c r="K172" s="76">
        <v>7</v>
      </c>
      <c r="L172" s="105">
        <f t="shared" si="2"/>
        <v>6</v>
      </c>
      <c r="M172" s="76">
        <v>1</v>
      </c>
    </row>
    <row r="173" spans="2:13">
      <c r="B173" s="125">
        <v>46121</v>
      </c>
      <c r="C173" s="16" t="s">
        <v>63</v>
      </c>
      <c r="D173" s="31" t="s">
        <v>342</v>
      </c>
      <c r="E173" s="32" t="s">
        <v>343</v>
      </c>
      <c r="F173" s="13" t="b">
        <v>1</v>
      </c>
      <c r="G173" s="13" t="b">
        <v>0</v>
      </c>
      <c r="H173" s="13" t="b">
        <v>0</v>
      </c>
      <c r="I173" s="13" t="b">
        <v>0</v>
      </c>
      <c r="J173" s="13" t="b">
        <v>0</v>
      </c>
      <c r="K173" s="105">
        <v>16</v>
      </c>
      <c r="L173" s="105">
        <f t="shared" si="2"/>
        <v>15</v>
      </c>
      <c r="M173" s="105">
        <v>1</v>
      </c>
    </row>
    <row r="174" spans="2:13">
      <c r="B174" s="125"/>
      <c r="C174" s="16"/>
      <c r="D174" s="31" t="s">
        <v>344</v>
      </c>
      <c r="E174" s="32" t="s">
        <v>240</v>
      </c>
      <c r="F174" s="13" t="b">
        <v>0</v>
      </c>
      <c r="G174" s="13" t="b">
        <v>0</v>
      </c>
      <c r="H174" s="13" t="b">
        <v>0</v>
      </c>
      <c r="I174" s="13" t="b">
        <v>0</v>
      </c>
      <c r="J174" s="13" t="b">
        <v>0</v>
      </c>
      <c r="K174" s="76"/>
      <c r="L174" s="105">
        <f t="shared" si="2"/>
        <v>0</v>
      </c>
      <c r="M174" s="76"/>
    </row>
    <row r="175" spans="2:13">
      <c r="B175" s="125">
        <v>46121</v>
      </c>
      <c r="C175" s="16" t="s">
        <v>85</v>
      </c>
      <c r="D175" s="31" t="s">
        <v>345</v>
      </c>
      <c r="E175" s="32" t="s">
        <v>346</v>
      </c>
      <c r="F175" s="13" t="b">
        <v>1</v>
      </c>
      <c r="G175" s="13" t="b">
        <v>1</v>
      </c>
      <c r="H175" s="13" t="b">
        <v>0</v>
      </c>
      <c r="I175" s="13" t="b">
        <v>0</v>
      </c>
      <c r="J175" s="13" t="b">
        <v>0</v>
      </c>
      <c r="K175" s="105">
        <v>16</v>
      </c>
      <c r="L175" s="105">
        <f t="shared" si="2"/>
        <v>0</v>
      </c>
      <c r="M175" s="105">
        <v>16</v>
      </c>
    </row>
    <row r="176" spans="2:13">
      <c r="B176" s="125">
        <v>46121</v>
      </c>
      <c r="C176" s="16" t="s">
        <v>85</v>
      </c>
      <c r="D176" s="31" t="s">
        <v>347</v>
      </c>
      <c r="E176" s="32" t="s">
        <v>348</v>
      </c>
      <c r="F176" s="13" t="b">
        <v>1</v>
      </c>
      <c r="G176" s="13" t="b">
        <v>1</v>
      </c>
      <c r="H176" s="13" t="b">
        <v>0</v>
      </c>
      <c r="I176" s="13" t="b">
        <v>0</v>
      </c>
      <c r="J176" s="13" t="b">
        <v>0</v>
      </c>
      <c r="K176" s="76">
        <v>10</v>
      </c>
      <c r="L176" s="105">
        <f t="shared" si="2"/>
        <v>0</v>
      </c>
      <c r="M176" s="76">
        <v>10</v>
      </c>
    </row>
    <row r="177" spans="2:13">
      <c r="B177" s="125"/>
      <c r="C177" s="16"/>
      <c r="D177" s="31" t="s">
        <v>349</v>
      </c>
      <c r="E177" s="32" t="s">
        <v>350</v>
      </c>
      <c r="F177" s="13" t="b">
        <v>0</v>
      </c>
      <c r="G177" s="13" t="b">
        <v>0</v>
      </c>
      <c r="H177" s="13" t="b">
        <v>0</v>
      </c>
      <c r="I177" s="13" t="b">
        <v>0</v>
      </c>
      <c r="J177" s="13" t="b">
        <v>0</v>
      </c>
      <c r="K177" s="105"/>
      <c r="L177" s="105">
        <f t="shared" si="2"/>
        <v>0</v>
      </c>
      <c r="M177" s="105"/>
    </row>
    <row r="178" spans="2:13">
      <c r="B178" s="125">
        <v>46121</v>
      </c>
      <c r="C178" s="16" t="s">
        <v>85</v>
      </c>
      <c r="D178" s="31" t="s">
        <v>351</v>
      </c>
      <c r="E178" s="32" t="s">
        <v>352</v>
      </c>
      <c r="F178" s="13" t="b">
        <v>1</v>
      </c>
      <c r="G178" s="13" t="b">
        <v>0</v>
      </c>
      <c r="H178" s="13" t="b">
        <v>0</v>
      </c>
      <c r="I178" s="13" t="b">
        <v>0</v>
      </c>
      <c r="J178" s="13" t="b">
        <v>0</v>
      </c>
      <c r="K178" s="76">
        <v>20</v>
      </c>
      <c r="L178" s="105">
        <f t="shared" si="2"/>
        <v>19</v>
      </c>
      <c r="M178" s="76">
        <v>1</v>
      </c>
    </row>
    <row r="179" spans="2:13">
      <c r="B179" s="125">
        <v>46121</v>
      </c>
      <c r="C179" s="16" t="s">
        <v>78</v>
      </c>
      <c r="D179" s="31" t="s">
        <v>353</v>
      </c>
      <c r="E179" s="32" t="s">
        <v>354</v>
      </c>
      <c r="F179" s="13" t="b">
        <v>1</v>
      </c>
      <c r="G179" s="13" t="b">
        <v>1</v>
      </c>
      <c r="H179" s="13" t="b">
        <v>0</v>
      </c>
      <c r="I179" s="13" t="b">
        <v>0</v>
      </c>
      <c r="J179" s="13" t="b">
        <v>0</v>
      </c>
      <c r="K179" s="105">
        <v>25</v>
      </c>
      <c r="L179" s="105">
        <f t="shared" si="2"/>
        <v>18</v>
      </c>
      <c r="M179" s="105">
        <v>7</v>
      </c>
    </row>
    <row r="180" spans="2:13" ht="36">
      <c r="B180" s="125"/>
      <c r="C180" s="16"/>
      <c r="D180" s="31" t="s">
        <v>355</v>
      </c>
      <c r="E180" s="32" t="s">
        <v>356</v>
      </c>
      <c r="F180" s="13" t="b">
        <v>0</v>
      </c>
      <c r="G180" s="13" t="b">
        <v>0</v>
      </c>
      <c r="H180" s="13" t="b">
        <v>0</v>
      </c>
      <c r="I180" s="13" t="b">
        <v>0</v>
      </c>
      <c r="J180" s="13" t="b">
        <v>0</v>
      </c>
      <c r="K180" s="76"/>
      <c r="L180" s="105">
        <f t="shared" si="2"/>
        <v>0</v>
      </c>
      <c r="M180" s="76"/>
    </row>
    <row r="181" spans="2:13" ht="24">
      <c r="B181" s="125"/>
      <c r="C181" s="16"/>
      <c r="D181" s="31" t="s">
        <v>357</v>
      </c>
      <c r="E181" s="32" t="s">
        <v>358</v>
      </c>
      <c r="F181" s="13" t="b">
        <v>0</v>
      </c>
      <c r="G181" s="13" t="b">
        <v>0</v>
      </c>
      <c r="H181" s="13" t="b">
        <v>0</v>
      </c>
      <c r="I181" s="13" t="b">
        <v>0</v>
      </c>
      <c r="J181" s="13" t="b">
        <v>0</v>
      </c>
      <c r="K181" s="105"/>
      <c r="L181" s="105">
        <f t="shared" si="2"/>
        <v>0</v>
      </c>
      <c r="M181" s="105"/>
    </row>
    <row r="182" spans="2:13" ht="24">
      <c r="B182" s="125"/>
      <c r="C182" s="16"/>
      <c r="D182" s="31" t="s">
        <v>359</v>
      </c>
      <c r="E182" s="32" t="s">
        <v>360</v>
      </c>
      <c r="F182" s="13" t="b">
        <v>0</v>
      </c>
      <c r="G182" s="13" t="b">
        <v>0</v>
      </c>
      <c r="H182" s="13" t="b">
        <v>0</v>
      </c>
      <c r="I182" s="13" t="b">
        <v>0</v>
      </c>
      <c r="J182" s="13" t="b">
        <v>0</v>
      </c>
      <c r="K182" s="76"/>
      <c r="L182" s="105">
        <f t="shared" si="2"/>
        <v>0</v>
      </c>
      <c r="M182" s="76"/>
    </row>
    <row r="183" spans="2:13" ht="24">
      <c r="B183" s="125"/>
      <c r="C183" s="16"/>
      <c r="D183" s="31" t="s">
        <v>361</v>
      </c>
      <c r="E183" s="32" t="s">
        <v>360</v>
      </c>
      <c r="F183" s="13" t="b">
        <v>0</v>
      </c>
      <c r="G183" s="13" t="b">
        <v>0</v>
      </c>
      <c r="H183" s="13" t="b">
        <v>0</v>
      </c>
      <c r="I183" s="13" t="b">
        <v>0</v>
      </c>
      <c r="J183" s="13" t="b">
        <v>0</v>
      </c>
      <c r="K183" s="105"/>
      <c r="L183" s="105">
        <f t="shared" si="2"/>
        <v>0</v>
      </c>
      <c r="M183" s="105"/>
    </row>
    <row r="184" spans="2:13" ht="24">
      <c r="B184" s="125"/>
      <c r="C184" s="16"/>
      <c r="D184" s="31" t="s">
        <v>362</v>
      </c>
      <c r="E184" s="32" t="s">
        <v>360</v>
      </c>
      <c r="F184" s="13" t="b">
        <v>0</v>
      </c>
      <c r="G184" s="13" t="b">
        <v>0</v>
      </c>
      <c r="H184" s="13" t="b">
        <v>0</v>
      </c>
      <c r="I184" s="13" t="b">
        <v>0</v>
      </c>
      <c r="J184" s="13" t="b">
        <v>0</v>
      </c>
      <c r="K184" s="76"/>
      <c r="L184" s="105">
        <f t="shared" si="2"/>
        <v>0</v>
      </c>
      <c r="M184" s="76"/>
    </row>
    <row r="185" spans="2:13" ht="36">
      <c r="B185" s="125"/>
      <c r="C185" s="16"/>
      <c r="D185" s="31" t="s">
        <v>363</v>
      </c>
      <c r="E185" s="32" t="s">
        <v>364</v>
      </c>
      <c r="F185" s="13" t="b">
        <v>0</v>
      </c>
      <c r="G185" s="13" t="b">
        <v>0</v>
      </c>
      <c r="H185" s="13" t="b">
        <v>0</v>
      </c>
      <c r="I185" s="13" t="b">
        <v>0</v>
      </c>
      <c r="J185" s="13" t="b">
        <v>0</v>
      </c>
      <c r="K185" s="105"/>
      <c r="L185" s="105">
        <f t="shared" si="2"/>
        <v>0</v>
      </c>
      <c r="M185" s="105"/>
    </row>
    <row r="186" spans="2:13">
      <c r="B186" s="125"/>
      <c r="C186" s="16"/>
      <c r="D186" s="31" t="s">
        <v>365</v>
      </c>
      <c r="E186" s="32" t="s">
        <v>240</v>
      </c>
      <c r="F186" s="13" t="b">
        <v>0</v>
      </c>
      <c r="G186" s="13" t="b">
        <v>0</v>
      </c>
      <c r="H186" s="13" t="b">
        <v>0</v>
      </c>
      <c r="I186" s="13" t="b">
        <v>0</v>
      </c>
      <c r="J186" s="13" t="b">
        <v>0</v>
      </c>
      <c r="K186" s="76"/>
      <c r="L186" s="105">
        <f t="shared" si="2"/>
        <v>0</v>
      </c>
      <c r="M186" s="76"/>
    </row>
    <row r="187" spans="2:13">
      <c r="B187" s="125"/>
      <c r="C187" s="16"/>
      <c r="D187" s="31" t="s">
        <v>366</v>
      </c>
      <c r="E187" s="32" t="s">
        <v>231</v>
      </c>
      <c r="F187" s="13" t="b">
        <v>0</v>
      </c>
      <c r="G187" s="13" t="b">
        <v>0</v>
      </c>
      <c r="H187" s="13" t="b">
        <v>0</v>
      </c>
      <c r="I187" s="13" t="b">
        <v>0</v>
      </c>
      <c r="J187" s="13" t="b">
        <v>0</v>
      </c>
      <c r="K187" s="105"/>
      <c r="L187" s="105">
        <f t="shared" si="2"/>
        <v>0</v>
      </c>
      <c r="M187" s="105"/>
    </row>
    <row r="188" spans="2:13">
      <c r="B188" s="125"/>
      <c r="C188" s="16"/>
      <c r="D188" s="31" t="s">
        <v>367</v>
      </c>
      <c r="E188" s="32" t="s">
        <v>242</v>
      </c>
      <c r="F188" s="13" t="b">
        <v>0</v>
      </c>
      <c r="G188" s="13" t="b">
        <v>0</v>
      </c>
      <c r="H188" s="13" t="b">
        <v>0</v>
      </c>
      <c r="I188" s="13" t="b">
        <v>0</v>
      </c>
      <c r="J188" s="13" t="b">
        <v>0</v>
      </c>
      <c r="K188" s="76"/>
      <c r="L188" s="105">
        <f t="shared" si="2"/>
        <v>0</v>
      </c>
      <c r="M188" s="76"/>
    </row>
    <row r="189" spans="2:13">
      <c r="B189" s="125">
        <v>46112</v>
      </c>
      <c r="C189" s="16" t="s">
        <v>63</v>
      </c>
      <c r="D189" s="31" t="s">
        <v>368</v>
      </c>
      <c r="E189" s="32" t="s">
        <v>272</v>
      </c>
      <c r="F189" s="13" t="b">
        <v>1</v>
      </c>
      <c r="G189" s="13" t="b">
        <v>0</v>
      </c>
      <c r="H189" s="13" t="b">
        <v>0</v>
      </c>
      <c r="I189" s="13" t="b">
        <v>0</v>
      </c>
      <c r="J189" s="13" t="b">
        <v>0</v>
      </c>
      <c r="K189" s="105">
        <v>46</v>
      </c>
      <c r="L189" s="105">
        <f t="shared" si="2"/>
        <v>46</v>
      </c>
      <c r="M189" s="105"/>
    </row>
    <row r="190" spans="2:13">
      <c r="B190" s="125">
        <v>46112</v>
      </c>
      <c r="C190" s="16" t="s">
        <v>85</v>
      </c>
      <c r="D190" s="31" t="s">
        <v>369</v>
      </c>
      <c r="E190" s="32" t="s">
        <v>370</v>
      </c>
      <c r="F190" s="13" t="b">
        <v>1</v>
      </c>
      <c r="G190" s="13" t="b">
        <v>0</v>
      </c>
      <c r="H190" s="13" t="b">
        <v>0</v>
      </c>
      <c r="I190" s="13" t="b">
        <v>0</v>
      </c>
      <c r="J190" s="13" t="b">
        <v>0</v>
      </c>
      <c r="K190" s="76">
        <v>17</v>
      </c>
      <c r="L190" s="105">
        <f t="shared" si="2"/>
        <v>17</v>
      </c>
      <c r="M190" s="76"/>
    </row>
    <row r="191" spans="2:13">
      <c r="B191" s="125">
        <v>46112</v>
      </c>
      <c r="C191" s="16" t="s">
        <v>85</v>
      </c>
      <c r="D191" s="31" t="s">
        <v>371</v>
      </c>
      <c r="E191" s="32" t="s">
        <v>372</v>
      </c>
      <c r="F191" s="13" t="b">
        <v>1</v>
      </c>
      <c r="G191" s="13" t="b">
        <v>0</v>
      </c>
      <c r="H191" s="13" t="b">
        <v>0</v>
      </c>
      <c r="I191" s="13" t="b">
        <v>0</v>
      </c>
      <c r="J191" s="13" t="b">
        <v>0</v>
      </c>
      <c r="K191" s="105">
        <v>18</v>
      </c>
      <c r="L191" s="105">
        <f t="shared" si="2"/>
        <v>18</v>
      </c>
      <c r="M191" s="105"/>
    </row>
    <row r="192" spans="2:13" ht="24">
      <c r="B192" s="125">
        <v>46112</v>
      </c>
      <c r="C192" s="16" t="s">
        <v>85</v>
      </c>
      <c r="D192" s="31" t="s">
        <v>373</v>
      </c>
      <c r="E192" s="32" t="s">
        <v>374</v>
      </c>
      <c r="F192" s="13" t="b">
        <v>1</v>
      </c>
      <c r="G192" s="13" t="b">
        <v>0</v>
      </c>
      <c r="H192" s="13" t="b">
        <v>0</v>
      </c>
      <c r="I192" s="13" t="b">
        <v>0</v>
      </c>
      <c r="J192" s="13" t="b">
        <v>0</v>
      </c>
      <c r="K192" s="76">
        <v>22</v>
      </c>
      <c r="L192" s="105">
        <f t="shared" si="2"/>
        <v>22</v>
      </c>
      <c r="M192" s="76"/>
    </row>
    <row r="193" spans="2:13">
      <c r="B193" s="125">
        <v>46112</v>
      </c>
      <c r="C193" s="16" t="s">
        <v>85</v>
      </c>
      <c r="D193" s="31" t="s">
        <v>375</v>
      </c>
      <c r="E193" s="32" t="s">
        <v>376</v>
      </c>
      <c r="F193" s="13" t="b">
        <v>1</v>
      </c>
      <c r="G193" s="13" t="b">
        <v>0</v>
      </c>
      <c r="H193" s="13" t="b">
        <v>0</v>
      </c>
      <c r="I193" s="13" t="b">
        <v>0</v>
      </c>
      <c r="J193" s="13" t="b">
        <v>0</v>
      </c>
      <c r="K193" s="105">
        <v>17</v>
      </c>
      <c r="L193" s="105">
        <f t="shared" si="2"/>
        <v>0</v>
      </c>
      <c r="M193" s="105">
        <v>17</v>
      </c>
    </row>
    <row r="194" spans="2:13">
      <c r="B194" s="125">
        <v>46112</v>
      </c>
      <c r="C194" s="16" t="s">
        <v>85</v>
      </c>
      <c r="D194" s="31" t="s">
        <v>377</v>
      </c>
      <c r="E194" s="32" t="s">
        <v>378</v>
      </c>
      <c r="F194" s="13" t="b">
        <v>1</v>
      </c>
      <c r="G194" s="13" t="b">
        <v>0</v>
      </c>
      <c r="H194" s="13" t="b">
        <v>0</v>
      </c>
      <c r="I194" s="13" t="b">
        <v>0</v>
      </c>
      <c r="J194" s="13" t="b">
        <v>0</v>
      </c>
      <c r="K194" s="76">
        <v>18</v>
      </c>
      <c r="L194" s="105">
        <f t="shared" si="2"/>
        <v>18</v>
      </c>
      <c r="M194" s="76"/>
    </row>
    <row r="195" spans="2:13" ht="24">
      <c r="B195" s="125">
        <v>46112</v>
      </c>
      <c r="C195" s="16" t="s">
        <v>85</v>
      </c>
      <c r="D195" s="31" t="s">
        <v>379</v>
      </c>
      <c r="E195" s="32" t="s">
        <v>380</v>
      </c>
      <c r="F195" s="13" t="b">
        <v>1</v>
      </c>
      <c r="G195" s="13" t="b">
        <v>0</v>
      </c>
      <c r="H195" s="13" t="b">
        <v>0</v>
      </c>
      <c r="I195" s="13" t="b">
        <v>0</v>
      </c>
      <c r="J195" s="13" t="b">
        <v>0</v>
      </c>
      <c r="K195" s="105">
        <v>18</v>
      </c>
      <c r="L195" s="105">
        <f t="shared" si="2"/>
        <v>18</v>
      </c>
      <c r="M195" s="105"/>
    </row>
    <row r="196" spans="2:13">
      <c r="B196" s="125"/>
      <c r="C196" s="16"/>
      <c r="D196" s="31" t="s">
        <v>381</v>
      </c>
      <c r="E196" s="32" t="s">
        <v>248</v>
      </c>
      <c r="F196" s="13" t="b">
        <v>0</v>
      </c>
      <c r="G196" s="13" t="b">
        <v>0</v>
      </c>
      <c r="H196" s="13" t="b">
        <v>0</v>
      </c>
      <c r="I196" s="13" t="b">
        <v>0</v>
      </c>
      <c r="J196" s="13" t="b">
        <v>0</v>
      </c>
      <c r="K196" s="76"/>
      <c r="L196" s="105">
        <f t="shared" si="2"/>
        <v>0</v>
      </c>
      <c r="M196" s="76"/>
    </row>
    <row r="197" spans="2:13">
      <c r="B197" s="125"/>
      <c r="C197" s="16"/>
      <c r="D197" s="31" t="s">
        <v>382</v>
      </c>
      <c r="E197" s="32" t="s">
        <v>383</v>
      </c>
      <c r="F197" s="13" t="b">
        <v>0</v>
      </c>
      <c r="G197" s="13" t="b">
        <v>0</v>
      </c>
      <c r="H197" s="13" t="b">
        <v>0</v>
      </c>
      <c r="I197" s="13" t="b">
        <v>0</v>
      </c>
      <c r="J197" s="13" t="b">
        <v>0</v>
      </c>
      <c r="K197" s="105"/>
      <c r="L197" s="105">
        <f t="shared" si="2"/>
        <v>0</v>
      </c>
      <c r="M197" s="105"/>
    </row>
    <row r="198" spans="2:13">
      <c r="B198" s="125">
        <v>46052</v>
      </c>
      <c r="C198" s="16" t="s">
        <v>66</v>
      </c>
      <c r="D198" s="31" t="s">
        <v>384</v>
      </c>
      <c r="E198" s="32" t="s">
        <v>385</v>
      </c>
      <c r="F198" s="13" t="b">
        <v>1</v>
      </c>
      <c r="G198" s="13" t="b">
        <v>1</v>
      </c>
      <c r="H198" s="13" t="b">
        <v>0</v>
      </c>
      <c r="I198" s="13" t="b">
        <v>0</v>
      </c>
      <c r="J198" s="13" t="b">
        <v>0</v>
      </c>
      <c r="K198" s="76">
        <v>22</v>
      </c>
      <c r="L198" s="105">
        <f t="shared" si="2"/>
        <v>17</v>
      </c>
      <c r="M198" s="76">
        <v>5</v>
      </c>
    </row>
    <row r="199" spans="2:13">
      <c r="B199" s="125"/>
      <c r="C199" s="16"/>
      <c r="D199" s="31" t="s">
        <v>386</v>
      </c>
      <c r="E199" s="32" t="s">
        <v>242</v>
      </c>
      <c r="F199" s="13" t="b">
        <v>0</v>
      </c>
      <c r="G199" s="13" t="b">
        <v>0</v>
      </c>
      <c r="H199" s="13" t="b">
        <v>0</v>
      </c>
      <c r="I199" s="13" t="b">
        <v>0</v>
      </c>
      <c r="J199" s="13" t="b">
        <v>0</v>
      </c>
      <c r="K199" s="105"/>
      <c r="L199" s="105">
        <f t="shared" ref="L199:L262" si="3">K199-M199</f>
        <v>0</v>
      </c>
      <c r="M199" s="105"/>
    </row>
    <row r="200" spans="2:13">
      <c r="B200" s="125"/>
      <c r="C200" s="16"/>
      <c r="D200" s="31" t="s">
        <v>387</v>
      </c>
      <c r="E200" s="32" t="s">
        <v>388</v>
      </c>
      <c r="F200" s="13" t="b">
        <v>0</v>
      </c>
      <c r="G200" s="13" t="b">
        <v>0</v>
      </c>
      <c r="H200" s="13" t="b">
        <v>0</v>
      </c>
      <c r="I200" s="13" t="b">
        <v>0</v>
      </c>
      <c r="J200" s="13" t="b">
        <v>0</v>
      </c>
      <c r="K200" s="76"/>
      <c r="L200" s="105">
        <f t="shared" si="3"/>
        <v>0</v>
      </c>
      <c r="M200" s="76"/>
    </row>
    <row r="201" spans="2:13" ht="36">
      <c r="B201" s="125"/>
      <c r="C201" s="16"/>
      <c r="D201" s="31" t="s">
        <v>389</v>
      </c>
      <c r="E201" s="32" t="s">
        <v>390</v>
      </c>
      <c r="F201" s="13" t="b">
        <v>0</v>
      </c>
      <c r="G201" s="13" t="b">
        <v>0</v>
      </c>
      <c r="H201" s="13" t="b">
        <v>0</v>
      </c>
      <c r="I201" s="13" t="b">
        <v>0</v>
      </c>
      <c r="J201" s="13" t="b">
        <v>0</v>
      </c>
      <c r="K201" s="105"/>
      <c r="L201" s="105">
        <f t="shared" si="3"/>
        <v>0</v>
      </c>
      <c r="M201" s="105"/>
    </row>
    <row r="202" spans="2:13">
      <c r="B202" s="125"/>
      <c r="C202" s="16"/>
      <c r="D202" s="31" t="s">
        <v>391</v>
      </c>
      <c r="E202" s="32" t="s">
        <v>231</v>
      </c>
      <c r="F202" s="13" t="b">
        <v>0</v>
      </c>
      <c r="G202" s="13" t="b">
        <v>0</v>
      </c>
      <c r="H202" s="13" t="b">
        <v>0</v>
      </c>
      <c r="I202" s="13" t="b">
        <v>0</v>
      </c>
      <c r="J202" s="13" t="b">
        <v>0</v>
      </c>
      <c r="K202" s="76"/>
      <c r="L202" s="105">
        <f t="shared" si="3"/>
        <v>0</v>
      </c>
      <c r="M202" s="76"/>
    </row>
    <row r="203" spans="2:13">
      <c r="B203" s="125"/>
      <c r="C203" s="16"/>
      <c r="D203" s="31" t="s">
        <v>392</v>
      </c>
      <c r="E203" s="32" t="s">
        <v>393</v>
      </c>
      <c r="F203" s="13" t="b">
        <v>0</v>
      </c>
      <c r="G203" s="13" t="b">
        <v>0</v>
      </c>
      <c r="H203" s="13" t="b">
        <v>0</v>
      </c>
      <c r="I203" s="13" t="b">
        <v>0</v>
      </c>
      <c r="J203" s="13" t="b">
        <v>0</v>
      </c>
      <c r="K203" s="105"/>
      <c r="L203" s="105">
        <f t="shared" si="3"/>
        <v>0</v>
      </c>
      <c r="M203" s="105"/>
    </row>
    <row r="204" spans="2:13">
      <c r="B204" s="125"/>
      <c r="C204" s="16"/>
      <c r="D204" s="31" t="s">
        <v>394</v>
      </c>
      <c r="E204" s="32" t="s">
        <v>246</v>
      </c>
      <c r="F204" s="13" t="b">
        <v>0</v>
      </c>
      <c r="G204" s="13" t="b">
        <v>0</v>
      </c>
      <c r="H204" s="13" t="b">
        <v>0</v>
      </c>
      <c r="I204" s="13" t="b">
        <v>0</v>
      </c>
      <c r="J204" s="13" t="b">
        <v>0</v>
      </c>
      <c r="K204" s="76"/>
      <c r="L204" s="105">
        <f t="shared" si="3"/>
        <v>0</v>
      </c>
      <c r="M204" s="76"/>
    </row>
    <row r="205" spans="2:13">
      <c r="B205" s="125"/>
      <c r="C205" s="16"/>
      <c r="D205" s="31" t="s">
        <v>395</v>
      </c>
      <c r="E205" s="32" t="s">
        <v>248</v>
      </c>
      <c r="F205" s="13" t="b">
        <v>0</v>
      </c>
      <c r="G205" s="13" t="b">
        <v>0</v>
      </c>
      <c r="H205" s="13" t="b">
        <v>0</v>
      </c>
      <c r="I205" s="13" t="b">
        <v>0</v>
      </c>
      <c r="J205" s="13" t="b">
        <v>0</v>
      </c>
      <c r="K205" s="105"/>
      <c r="L205" s="105">
        <f t="shared" si="3"/>
        <v>0</v>
      </c>
      <c r="M205" s="105"/>
    </row>
    <row r="206" spans="2:13">
      <c r="B206" s="125"/>
      <c r="C206" s="16"/>
      <c r="D206" s="31" t="s">
        <v>396</v>
      </c>
      <c r="E206" s="32" t="s">
        <v>238</v>
      </c>
      <c r="F206" s="13" t="b">
        <v>0</v>
      </c>
      <c r="G206" s="13" t="b">
        <v>0</v>
      </c>
      <c r="H206" s="13" t="b">
        <v>0</v>
      </c>
      <c r="I206" s="13" t="b">
        <v>0</v>
      </c>
      <c r="J206" s="13" t="b">
        <v>0</v>
      </c>
      <c r="K206" s="76"/>
      <c r="L206" s="105">
        <f t="shared" si="3"/>
        <v>0</v>
      </c>
      <c r="M206" s="76"/>
    </row>
    <row r="207" spans="2:13">
      <c r="B207" s="125"/>
      <c r="C207" s="16"/>
      <c r="D207" s="31" t="s">
        <v>397</v>
      </c>
      <c r="E207" s="32" t="s">
        <v>236</v>
      </c>
      <c r="F207" s="13" t="b">
        <v>0</v>
      </c>
      <c r="G207" s="13" t="b">
        <v>0</v>
      </c>
      <c r="H207" s="13" t="b">
        <v>0</v>
      </c>
      <c r="I207" s="13" t="b">
        <v>0</v>
      </c>
      <c r="J207" s="13" t="b">
        <v>0</v>
      </c>
      <c r="K207" s="105"/>
      <c r="L207" s="105">
        <f t="shared" si="3"/>
        <v>0</v>
      </c>
      <c r="M207" s="105"/>
    </row>
    <row r="208" spans="2:13">
      <c r="B208" s="125"/>
      <c r="C208" s="16"/>
      <c r="D208" s="31" t="s">
        <v>398</v>
      </c>
      <c r="E208" s="32" t="s">
        <v>399</v>
      </c>
      <c r="F208" s="13" t="b">
        <v>0</v>
      </c>
      <c r="G208" s="13" t="b">
        <v>0</v>
      </c>
      <c r="H208" s="13" t="b">
        <v>0</v>
      </c>
      <c r="I208" s="13" t="b">
        <v>0</v>
      </c>
      <c r="J208" s="13" t="b">
        <v>0</v>
      </c>
      <c r="K208" s="76"/>
      <c r="L208" s="105">
        <f t="shared" si="3"/>
        <v>0</v>
      </c>
      <c r="M208" s="76"/>
    </row>
    <row r="209" spans="2:13">
      <c r="B209" s="125">
        <v>46076</v>
      </c>
      <c r="C209" s="16" t="s">
        <v>85</v>
      </c>
      <c r="D209" s="110" t="s">
        <v>400</v>
      </c>
      <c r="E209" s="107" t="s">
        <v>231</v>
      </c>
      <c r="F209" s="13" t="b">
        <v>1</v>
      </c>
      <c r="G209" s="13" t="b">
        <v>0</v>
      </c>
      <c r="H209" s="13" t="b">
        <v>0</v>
      </c>
      <c r="I209" s="13" t="b">
        <v>0</v>
      </c>
      <c r="J209" s="13" t="b">
        <v>0</v>
      </c>
      <c r="K209" s="105">
        <v>1</v>
      </c>
      <c r="L209" s="105">
        <f t="shared" si="3"/>
        <v>0</v>
      </c>
      <c r="M209" s="105">
        <v>1</v>
      </c>
    </row>
    <row r="210" spans="2:13">
      <c r="B210" s="125"/>
      <c r="C210" s="16"/>
      <c r="D210" s="31" t="s">
        <v>401</v>
      </c>
      <c r="E210" s="32" t="s">
        <v>242</v>
      </c>
      <c r="F210" s="13" t="b">
        <v>0</v>
      </c>
      <c r="G210" s="13" t="b">
        <v>0</v>
      </c>
      <c r="H210" s="13" t="b">
        <v>0</v>
      </c>
      <c r="I210" s="13" t="b">
        <v>0</v>
      </c>
      <c r="J210" s="13" t="b">
        <v>0</v>
      </c>
      <c r="K210" s="76"/>
      <c r="L210" s="105">
        <f t="shared" si="3"/>
        <v>0</v>
      </c>
      <c r="M210" s="76"/>
    </row>
    <row r="211" spans="2:13" ht="24">
      <c r="B211" s="125"/>
      <c r="C211" s="16"/>
      <c r="D211" s="31" t="s">
        <v>402</v>
      </c>
      <c r="E211" s="32" t="s">
        <v>360</v>
      </c>
      <c r="F211" s="13" t="b">
        <v>0</v>
      </c>
      <c r="G211" s="13" t="b">
        <v>0</v>
      </c>
      <c r="H211" s="13" t="b">
        <v>0</v>
      </c>
      <c r="I211" s="13" t="b">
        <v>0</v>
      </c>
      <c r="J211" s="13" t="b">
        <v>0</v>
      </c>
      <c r="K211" s="105"/>
      <c r="L211" s="105">
        <f t="shared" si="3"/>
        <v>0</v>
      </c>
      <c r="M211" s="105"/>
    </row>
    <row r="212" spans="2:13">
      <c r="B212" s="125"/>
      <c r="C212" s="16"/>
      <c r="D212" s="31" t="s">
        <v>403</v>
      </c>
      <c r="E212" s="32" t="s">
        <v>242</v>
      </c>
      <c r="F212" s="13" t="b">
        <v>0</v>
      </c>
      <c r="G212" s="13" t="b">
        <v>0</v>
      </c>
      <c r="H212" s="13" t="b">
        <v>0</v>
      </c>
      <c r="I212" s="13" t="b">
        <v>0</v>
      </c>
      <c r="J212" s="13" t="b">
        <v>0</v>
      </c>
      <c r="K212" s="76"/>
      <c r="L212" s="105">
        <f t="shared" si="3"/>
        <v>0</v>
      </c>
      <c r="M212" s="76"/>
    </row>
    <row r="213" spans="2:13">
      <c r="B213" s="125">
        <v>46053</v>
      </c>
      <c r="C213" s="16" t="s">
        <v>66</v>
      </c>
      <c r="D213" s="31" t="s">
        <v>404</v>
      </c>
      <c r="E213" s="32" t="s">
        <v>248</v>
      </c>
      <c r="F213" s="13" t="b">
        <v>1</v>
      </c>
      <c r="G213" s="13" t="b">
        <v>0</v>
      </c>
      <c r="H213" s="13" t="b">
        <v>0</v>
      </c>
      <c r="I213" s="13" t="b">
        <v>0</v>
      </c>
      <c r="J213" s="13" t="b">
        <v>0</v>
      </c>
      <c r="K213" s="105">
        <v>18</v>
      </c>
      <c r="L213" s="105">
        <f t="shared" si="3"/>
        <v>18</v>
      </c>
      <c r="M213" s="105"/>
    </row>
    <row r="214" spans="2:13">
      <c r="B214" s="125">
        <v>46053</v>
      </c>
      <c r="C214" s="16" t="s">
        <v>66</v>
      </c>
      <c r="D214" s="31" t="s">
        <v>405</v>
      </c>
      <c r="E214" s="32" t="s">
        <v>246</v>
      </c>
      <c r="F214" s="13" t="b">
        <v>1</v>
      </c>
      <c r="G214" s="13" t="b">
        <v>1</v>
      </c>
      <c r="H214" s="13" t="b">
        <v>0</v>
      </c>
      <c r="I214" s="13" t="b">
        <v>0</v>
      </c>
      <c r="J214" s="13" t="b">
        <v>0</v>
      </c>
      <c r="K214" s="76">
        <v>17</v>
      </c>
      <c r="L214" s="105">
        <f t="shared" si="3"/>
        <v>14</v>
      </c>
      <c r="M214" s="76">
        <v>3</v>
      </c>
    </row>
    <row r="215" spans="2:13">
      <c r="B215" s="125"/>
      <c r="C215" s="16"/>
      <c r="D215" s="31" t="s">
        <v>406</v>
      </c>
      <c r="E215" s="32" t="s">
        <v>388</v>
      </c>
      <c r="F215" s="13" t="b">
        <v>0</v>
      </c>
      <c r="G215" s="13" t="b">
        <v>0</v>
      </c>
      <c r="H215" s="13" t="b">
        <v>0</v>
      </c>
      <c r="I215" s="13" t="b">
        <v>0</v>
      </c>
      <c r="J215" s="13" t="b">
        <v>0</v>
      </c>
      <c r="K215" s="105"/>
      <c r="L215" s="105">
        <f t="shared" si="3"/>
        <v>0</v>
      </c>
      <c r="M215" s="105"/>
    </row>
    <row r="216" spans="2:13">
      <c r="B216" s="125">
        <v>46051</v>
      </c>
      <c r="C216" s="16" t="s">
        <v>69</v>
      </c>
      <c r="D216" s="31" t="s">
        <v>407</v>
      </c>
      <c r="E216" s="32" t="s">
        <v>408</v>
      </c>
      <c r="F216" s="13" t="b">
        <v>1</v>
      </c>
      <c r="G216" s="13" t="b">
        <v>1</v>
      </c>
      <c r="H216" s="13" t="b">
        <v>0</v>
      </c>
      <c r="I216" s="13" t="b">
        <v>0</v>
      </c>
      <c r="J216" s="13" t="b">
        <v>0</v>
      </c>
      <c r="K216" s="76">
        <v>39</v>
      </c>
      <c r="L216" s="105">
        <f t="shared" si="3"/>
        <v>34</v>
      </c>
      <c r="M216" s="76">
        <v>5</v>
      </c>
    </row>
    <row r="217" spans="2:13" ht="36">
      <c r="B217" s="125">
        <v>46076</v>
      </c>
      <c r="C217" s="16" t="s">
        <v>66</v>
      </c>
      <c r="D217" s="31" t="s">
        <v>409</v>
      </c>
      <c r="E217" s="32" t="s">
        <v>410</v>
      </c>
      <c r="F217" s="13" t="b">
        <v>1</v>
      </c>
      <c r="G217" s="13" t="b">
        <v>0</v>
      </c>
      <c r="H217" s="13" t="b">
        <v>0</v>
      </c>
      <c r="I217" s="13" t="b">
        <v>0</v>
      </c>
      <c r="J217" s="13" t="b">
        <v>0</v>
      </c>
      <c r="K217" s="105">
        <v>28</v>
      </c>
      <c r="L217" s="105">
        <f t="shared" si="3"/>
        <v>27</v>
      </c>
      <c r="M217" s="105">
        <v>1</v>
      </c>
    </row>
    <row r="218" spans="2:13">
      <c r="B218" s="125">
        <v>46076</v>
      </c>
      <c r="C218" s="16" t="s">
        <v>66</v>
      </c>
      <c r="D218" s="31" t="s">
        <v>411</v>
      </c>
      <c r="E218" s="32" t="s">
        <v>412</v>
      </c>
      <c r="F218" s="13" t="b">
        <v>1</v>
      </c>
      <c r="G218" s="13" t="b">
        <v>0</v>
      </c>
      <c r="H218" s="13" t="b">
        <v>0</v>
      </c>
      <c r="I218" s="13" t="b">
        <v>0</v>
      </c>
      <c r="J218" s="13" t="b">
        <v>0</v>
      </c>
      <c r="K218" s="76">
        <v>11</v>
      </c>
      <c r="L218" s="105">
        <f t="shared" si="3"/>
        <v>11</v>
      </c>
      <c r="M218" s="76"/>
    </row>
    <row r="219" spans="2:13" ht="24">
      <c r="B219" s="125">
        <v>46076</v>
      </c>
      <c r="C219" s="16" t="s">
        <v>85</v>
      </c>
      <c r="D219" s="31" t="s">
        <v>413</v>
      </c>
      <c r="E219" s="32" t="s">
        <v>414</v>
      </c>
      <c r="F219" s="13" t="b">
        <v>1</v>
      </c>
      <c r="G219" s="13" t="b">
        <v>0</v>
      </c>
      <c r="H219" s="13" t="b">
        <v>0</v>
      </c>
      <c r="I219" s="13" t="b">
        <v>0</v>
      </c>
      <c r="J219" s="13" t="b">
        <v>0</v>
      </c>
      <c r="K219" s="105">
        <v>22</v>
      </c>
      <c r="L219" s="105">
        <f t="shared" si="3"/>
        <v>22</v>
      </c>
      <c r="M219" s="105"/>
    </row>
    <row r="220" spans="2:13">
      <c r="B220" s="125">
        <v>46076</v>
      </c>
      <c r="C220" s="16" t="s">
        <v>85</v>
      </c>
      <c r="D220" s="31" t="s">
        <v>415</v>
      </c>
      <c r="E220" s="32" t="s">
        <v>416</v>
      </c>
      <c r="F220" s="13" t="b">
        <v>1</v>
      </c>
      <c r="G220" s="13" t="b">
        <v>0</v>
      </c>
      <c r="H220" s="13" t="b">
        <v>0</v>
      </c>
      <c r="I220" s="13" t="b">
        <v>0</v>
      </c>
      <c r="J220" s="13" t="b">
        <v>0</v>
      </c>
      <c r="K220" s="76">
        <v>40</v>
      </c>
      <c r="L220" s="105">
        <f t="shared" si="3"/>
        <v>40</v>
      </c>
      <c r="M220" s="76"/>
    </row>
    <row r="221" spans="2:13">
      <c r="B221" s="125">
        <v>46076</v>
      </c>
      <c r="C221" s="16" t="s">
        <v>85</v>
      </c>
      <c r="D221" s="31" t="s">
        <v>417</v>
      </c>
      <c r="E221" s="32" t="s">
        <v>418</v>
      </c>
      <c r="F221" s="13" t="b">
        <v>1</v>
      </c>
      <c r="G221" s="13" t="b">
        <v>0</v>
      </c>
      <c r="H221" s="13" t="b">
        <v>0</v>
      </c>
      <c r="I221" s="13" t="b">
        <v>0</v>
      </c>
      <c r="J221" s="13" t="b">
        <v>0</v>
      </c>
      <c r="K221" s="105">
        <v>22</v>
      </c>
      <c r="L221" s="105">
        <f t="shared" si="3"/>
        <v>22</v>
      </c>
      <c r="M221" s="105"/>
    </row>
    <row r="222" spans="2:13">
      <c r="B222" s="125">
        <v>46076</v>
      </c>
      <c r="C222" s="16" t="s">
        <v>85</v>
      </c>
      <c r="D222" s="110" t="s">
        <v>419</v>
      </c>
      <c r="E222" s="107" t="s">
        <v>272</v>
      </c>
      <c r="F222" s="13" t="b">
        <v>1</v>
      </c>
      <c r="G222" s="13" t="b">
        <v>0</v>
      </c>
      <c r="H222" s="13" t="b">
        <v>0</v>
      </c>
      <c r="I222" s="13" t="b">
        <v>0</v>
      </c>
      <c r="J222" s="13" t="b">
        <v>0</v>
      </c>
      <c r="K222" s="76">
        <v>5</v>
      </c>
      <c r="L222" s="105">
        <f t="shared" si="3"/>
        <v>5</v>
      </c>
      <c r="M222" s="76"/>
    </row>
    <row r="223" spans="2:13">
      <c r="B223" s="125">
        <v>46076</v>
      </c>
      <c r="C223" s="16" t="s">
        <v>78</v>
      </c>
      <c r="D223" s="31" t="s">
        <v>420</v>
      </c>
      <c r="E223" s="32" t="s">
        <v>421</v>
      </c>
      <c r="F223" s="13" t="b">
        <v>1</v>
      </c>
      <c r="G223" s="13" t="b">
        <v>0</v>
      </c>
      <c r="H223" s="13" t="b">
        <v>0</v>
      </c>
      <c r="I223" s="13" t="b">
        <v>0</v>
      </c>
      <c r="J223" s="13" t="b">
        <v>0</v>
      </c>
      <c r="K223" s="105">
        <v>23</v>
      </c>
      <c r="L223" s="105">
        <f t="shared" si="3"/>
        <v>23</v>
      </c>
      <c r="M223" s="105"/>
    </row>
    <row r="224" spans="2:13" ht="36">
      <c r="B224" s="125">
        <v>46076</v>
      </c>
      <c r="C224" s="16" t="s">
        <v>56</v>
      </c>
      <c r="D224" s="31" t="s">
        <v>422</v>
      </c>
      <c r="E224" s="32" t="s">
        <v>423</v>
      </c>
      <c r="F224" s="13" t="b">
        <v>1</v>
      </c>
      <c r="G224" s="13" t="b">
        <v>0</v>
      </c>
      <c r="H224" s="13" t="b">
        <v>0</v>
      </c>
      <c r="I224" s="13" t="b">
        <v>0</v>
      </c>
      <c r="J224" s="13" t="b">
        <v>0</v>
      </c>
      <c r="K224" s="76">
        <v>23</v>
      </c>
      <c r="L224" s="105">
        <f t="shared" si="3"/>
        <v>23</v>
      </c>
      <c r="M224" s="76"/>
    </row>
    <row r="225" spans="2:13">
      <c r="B225" s="125"/>
      <c r="C225" s="16"/>
      <c r="D225" s="31" t="s">
        <v>424</v>
      </c>
      <c r="E225" s="32" t="s">
        <v>425</v>
      </c>
      <c r="F225" s="13" t="b">
        <v>0</v>
      </c>
      <c r="G225" s="13" t="b">
        <v>0</v>
      </c>
      <c r="H225" s="13" t="b">
        <v>0</v>
      </c>
      <c r="I225" s="13" t="b">
        <v>0</v>
      </c>
      <c r="J225" s="13" t="b">
        <v>0</v>
      </c>
      <c r="K225" s="105"/>
      <c r="L225" s="105">
        <f t="shared" si="3"/>
        <v>0</v>
      </c>
      <c r="M225" s="105"/>
    </row>
    <row r="226" spans="2:13">
      <c r="B226" s="125">
        <v>46076</v>
      </c>
      <c r="C226" s="16" t="s">
        <v>267</v>
      </c>
      <c r="D226" s="31" t="s">
        <v>426</v>
      </c>
      <c r="E226" s="32" t="s">
        <v>272</v>
      </c>
      <c r="F226" s="13" t="b">
        <v>1</v>
      </c>
      <c r="G226" s="13" t="b">
        <v>0</v>
      </c>
      <c r="H226" s="13" t="b">
        <v>0</v>
      </c>
      <c r="I226" s="13" t="b">
        <v>0</v>
      </c>
      <c r="J226" s="13" t="b">
        <v>0</v>
      </c>
      <c r="K226" s="76">
        <v>23</v>
      </c>
      <c r="L226" s="105">
        <f t="shared" si="3"/>
        <v>23</v>
      </c>
      <c r="M226" s="76"/>
    </row>
    <row r="227" spans="2:13">
      <c r="B227" s="125">
        <v>46076</v>
      </c>
      <c r="C227" s="16" t="s">
        <v>81</v>
      </c>
      <c r="D227" s="110" t="s">
        <v>427</v>
      </c>
      <c r="E227" s="32" t="s">
        <v>428</v>
      </c>
      <c r="F227" s="13" t="b">
        <v>1</v>
      </c>
      <c r="G227" s="13" t="b">
        <v>0</v>
      </c>
      <c r="H227" s="13" t="b">
        <v>0</v>
      </c>
      <c r="I227" s="13" t="b">
        <v>0</v>
      </c>
      <c r="J227" s="13" t="b">
        <v>0</v>
      </c>
      <c r="K227" s="105">
        <v>1</v>
      </c>
      <c r="L227" s="105">
        <f t="shared" si="3"/>
        <v>1</v>
      </c>
      <c r="M227" s="105"/>
    </row>
    <row r="228" spans="2:13" ht="24">
      <c r="B228" s="125">
        <v>46076</v>
      </c>
      <c r="C228" s="16" t="s">
        <v>267</v>
      </c>
      <c r="D228" s="31" t="s">
        <v>429</v>
      </c>
      <c r="E228" s="32" t="s">
        <v>430</v>
      </c>
      <c r="F228" s="13" t="b">
        <v>1</v>
      </c>
      <c r="G228" s="13" t="b">
        <v>0</v>
      </c>
      <c r="H228" s="13" t="b">
        <v>0</v>
      </c>
      <c r="I228" s="13" t="b">
        <v>0</v>
      </c>
      <c r="J228" s="13" t="b">
        <v>0</v>
      </c>
      <c r="K228" s="76">
        <v>15</v>
      </c>
      <c r="L228" s="105">
        <f t="shared" si="3"/>
        <v>15</v>
      </c>
      <c r="M228" s="76"/>
    </row>
    <row r="229" spans="2:13">
      <c r="B229" s="125">
        <v>46076</v>
      </c>
      <c r="C229" s="16" t="s">
        <v>267</v>
      </c>
      <c r="D229" s="31" t="s">
        <v>431</v>
      </c>
      <c r="E229" s="32" t="s">
        <v>432</v>
      </c>
      <c r="F229" s="13" t="b">
        <v>1</v>
      </c>
      <c r="G229" s="13" t="b">
        <v>0</v>
      </c>
      <c r="H229" s="13" t="b">
        <v>0</v>
      </c>
      <c r="I229" s="13" t="b">
        <v>0</v>
      </c>
      <c r="J229" s="13" t="b">
        <v>0</v>
      </c>
      <c r="K229" s="105">
        <v>15</v>
      </c>
      <c r="L229" s="105">
        <f t="shared" si="3"/>
        <v>15</v>
      </c>
      <c r="M229" s="105"/>
    </row>
    <row r="230" spans="2:13">
      <c r="B230" s="125">
        <v>46054</v>
      </c>
      <c r="C230" s="16" t="s">
        <v>66</v>
      </c>
      <c r="D230" s="31" t="s">
        <v>433</v>
      </c>
      <c r="E230" s="32" t="s">
        <v>434</v>
      </c>
      <c r="F230" s="13" t="b">
        <v>1</v>
      </c>
      <c r="G230" s="13" t="b">
        <v>0</v>
      </c>
      <c r="H230" s="13" t="b">
        <v>0</v>
      </c>
      <c r="I230" s="13" t="b">
        <v>0</v>
      </c>
      <c r="J230" s="13" t="b">
        <v>0</v>
      </c>
      <c r="K230" s="76">
        <v>25</v>
      </c>
      <c r="L230" s="105">
        <f t="shared" si="3"/>
        <v>25</v>
      </c>
      <c r="M230" s="76"/>
    </row>
    <row r="231" spans="2:13">
      <c r="B231" s="125"/>
      <c r="C231" s="16"/>
      <c r="D231" s="31" t="s">
        <v>435</v>
      </c>
      <c r="E231" s="32" t="s">
        <v>436</v>
      </c>
      <c r="F231" s="13" t="b">
        <v>0</v>
      </c>
      <c r="G231" s="13" t="b">
        <v>0</v>
      </c>
      <c r="H231" s="13" t="b">
        <v>0</v>
      </c>
      <c r="I231" s="13" t="b">
        <v>0</v>
      </c>
      <c r="J231" s="13" t="b">
        <v>0</v>
      </c>
      <c r="K231" s="105"/>
      <c r="L231" s="105">
        <f t="shared" si="3"/>
        <v>0</v>
      </c>
      <c r="M231" s="105"/>
    </row>
    <row r="232" spans="2:13" ht="24">
      <c r="B232" s="125">
        <v>46076</v>
      </c>
      <c r="C232" s="16" t="s">
        <v>63</v>
      </c>
      <c r="D232" s="31" t="s">
        <v>437</v>
      </c>
      <c r="E232" s="32" t="s">
        <v>414</v>
      </c>
      <c r="F232" s="13" t="b">
        <v>1</v>
      </c>
      <c r="G232" s="13" t="b">
        <v>0</v>
      </c>
      <c r="H232" s="13" t="b">
        <v>0</v>
      </c>
      <c r="I232" s="13" t="b">
        <v>0</v>
      </c>
      <c r="J232" s="13" t="b">
        <v>0</v>
      </c>
      <c r="K232" s="76">
        <v>41</v>
      </c>
      <c r="L232" s="105">
        <f t="shared" si="3"/>
        <v>41</v>
      </c>
      <c r="M232" s="76"/>
    </row>
    <row r="233" spans="2:13">
      <c r="B233" s="125">
        <v>46077</v>
      </c>
      <c r="C233" s="16" t="s">
        <v>62</v>
      </c>
      <c r="D233" s="31" t="s">
        <v>438</v>
      </c>
      <c r="E233" s="32" t="s">
        <v>439</v>
      </c>
      <c r="F233" s="13" t="b">
        <v>1</v>
      </c>
      <c r="G233" s="13" t="b">
        <v>0</v>
      </c>
      <c r="H233" s="13" t="b">
        <v>0</v>
      </c>
      <c r="I233" s="13" t="b">
        <v>0</v>
      </c>
      <c r="J233" s="13" t="b">
        <v>0</v>
      </c>
      <c r="K233" s="105">
        <v>14</v>
      </c>
      <c r="L233" s="105">
        <f t="shared" si="3"/>
        <v>14</v>
      </c>
      <c r="M233" s="105"/>
    </row>
    <row r="234" spans="2:13">
      <c r="B234" s="125">
        <v>46077</v>
      </c>
      <c r="C234" s="16" t="s">
        <v>62</v>
      </c>
      <c r="D234" s="31" t="s">
        <v>440</v>
      </c>
      <c r="E234" s="32" t="s">
        <v>441</v>
      </c>
      <c r="F234" s="13" t="b">
        <v>1</v>
      </c>
      <c r="G234" s="13" t="b">
        <v>0</v>
      </c>
      <c r="H234" s="13" t="b">
        <v>0</v>
      </c>
      <c r="I234" s="13" t="b">
        <v>0</v>
      </c>
      <c r="J234" s="13" t="b">
        <v>0</v>
      </c>
      <c r="K234" s="76">
        <v>14</v>
      </c>
      <c r="L234" s="105">
        <f t="shared" si="3"/>
        <v>14</v>
      </c>
      <c r="M234" s="76"/>
    </row>
    <row r="235" spans="2:13">
      <c r="B235" s="125">
        <v>46076</v>
      </c>
      <c r="C235" s="16" t="s">
        <v>63</v>
      </c>
      <c r="D235" s="31" t="s">
        <v>442</v>
      </c>
      <c r="E235" s="32" t="s">
        <v>443</v>
      </c>
      <c r="F235" s="13" t="b">
        <v>1</v>
      </c>
      <c r="G235" s="13" t="b">
        <v>0</v>
      </c>
      <c r="H235" s="13" t="b">
        <v>0</v>
      </c>
      <c r="I235" s="13" t="b">
        <v>0</v>
      </c>
      <c r="J235" s="13" t="b">
        <v>0</v>
      </c>
      <c r="K235" s="105">
        <v>10</v>
      </c>
      <c r="L235" s="105">
        <f t="shared" si="3"/>
        <v>10</v>
      </c>
      <c r="M235" s="105"/>
    </row>
    <row r="236" spans="2:13">
      <c r="B236" s="125">
        <v>46076</v>
      </c>
      <c r="C236" s="16" t="s">
        <v>63</v>
      </c>
      <c r="D236" s="31" t="s">
        <v>444</v>
      </c>
      <c r="E236" s="32" t="s">
        <v>445</v>
      </c>
      <c r="F236" s="13" t="b">
        <v>1</v>
      </c>
      <c r="G236" s="13" t="b">
        <v>0</v>
      </c>
      <c r="H236" s="13" t="b">
        <v>0</v>
      </c>
      <c r="I236" s="13" t="b">
        <v>0</v>
      </c>
      <c r="J236" s="13" t="b">
        <v>0</v>
      </c>
      <c r="K236" s="76">
        <v>8</v>
      </c>
      <c r="L236" s="105">
        <f t="shared" si="3"/>
        <v>8</v>
      </c>
      <c r="M236" s="76"/>
    </row>
    <row r="237" spans="2:13">
      <c r="B237" s="125"/>
      <c r="C237" s="16"/>
      <c r="D237" s="31" t="s">
        <v>446</v>
      </c>
      <c r="E237" s="32" t="s">
        <v>447</v>
      </c>
      <c r="F237" s="13" t="b">
        <v>0</v>
      </c>
      <c r="G237" s="13" t="b">
        <v>0</v>
      </c>
      <c r="H237" s="13" t="b">
        <v>0</v>
      </c>
      <c r="I237" s="13" t="b">
        <v>0</v>
      </c>
      <c r="J237" s="13" t="b">
        <v>0</v>
      </c>
      <c r="K237" s="105"/>
      <c r="L237" s="105">
        <f t="shared" si="3"/>
        <v>0</v>
      </c>
      <c r="M237" s="105"/>
    </row>
    <row r="238" spans="2:13">
      <c r="B238" s="125">
        <v>46076</v>
      </c>
      <c r="C238" s="16" t="s">
        <v>53</v>
      </c>
      <c r="D238" s="31" t="s">
        <v>448</v>
      </c>
      <c r="E238" s="32" t="s">
        <v>272</v>
      </c>
      <c r="F238" s="13" t="b">
        <v>1</v>
      </c>
      <c r="G238" s="13" t="b">
        <v>0</v>
      </c>
      <c r="H238" s="13" t="b">
        <v>0</v>
      </c>
      <c r="I238" s="13" t="b">
        <v>0</v>
      </c>
      <c r="J238" s="13" t="b">
        <v>0</v>
      </c>
      <c r="K238" s="76">
        <v>19</v>
      </c>
      <c r="L238" s="105">
        <f t="shared" si="3"/>
        <v>19</v>
      </c>
      <c r="M238" s="76"/>
    </row>
    <row r="239" spans="2:13">
      <c r="B239" s="125">
        <v>46076</v>
      </c>
      <c r="C239" s="16" t="s">
        <v>53</v>
      </c>
      <c r="D239" s="31" t="s">
        <v>449</v>
      </c>
      <c r="E239" s="32" t="s">
        <v>425</v>
      </c>
      <c r="F239" s="13" t="b">
        <v>1</v>
      </c>
      <c r="G239" s="13" t="b">
        <v>0</v>
      </c>
      <c r="H239" s="13" t="b">
        <v>0</v>
      </c>
      <c r="I239" s="13" t="b">
        <v>0</v>
      </c>
      <c r="J239" s="13" t="b">
        <v>0</v>
      </c>
      <c r="K239" s="105">
        <v>17</v>
      </c>
      <c r="L239" s="105">
        <f t="shared" si="3"/>
        <v>17</v>
      </c>
      <c r="M239" s="105"/>
    </row>
    <row r="240" spans="2:13">
      <c r="B240" s="125">
        <v>46076</v>
      </c>
      <c r="C240" s="16" t="s">
        <v>53</v>
      </c>
      <c r="D240" s="31" t="s">
        <v>450</v>
      </c>
      <c r="E240" s="32" t="s">
        <v>451</v>
      </c>
      <c r="F240" s="13" t="b">
        <v>1</v>
      </c>
      <c r="G240" s="13" t="b">
        <v>0</v>
      </c>
      <c r="H240" s="13" t="b">
        <v>0</v>
      </c>
      <c r="I240" s="13" t="b">
        <v>0</v>
      </c>
      <c r="J240" s="13" t="b">
        <v>0</v>
      </c>
      <c r="K240" s="76">
        <v>10</v>
      </c>
      <c r="L240" s="105">
        <f t="shared" si="3"/>
        <v>10</v>
      </c>
      <c r="M240" s="76"/>
    </row>
    <row r="241" spans="2:13">
      <c r="B241" s="125">
        <v>46076</v>
      </c>
      <c r="C241" s="16" t="s">
        <v>53</v>
      </c>
      <c r="D241" s="31" t="s">
        <v>452</v>
      </c>
      <c r="E241" s="32" t="s">
        <v>453</v>
      </c>
      <c r="F241" s="13" t="b">
        <v>1</v>
      </c>
      <c r="G241" s="13" t="b">
        <v>0</v>
      </c>
      <c r="H241" s="13" t="b">
        <v>0</v>
      </c>
      <c r="I241" s="13" t="b">
        <v>0</v>
      </c>
      <c r="J241" s="13" t="b">
        <v>0</v>
      </c>
      <c r="K241" s="105">
        <v>12</v>
      </c>
      <c r="L241" s="105">
        <f t="shared" si="3"/>
        <v>12</v>
      </c>
      <c r="M241" s="105"/>
    </row>
    <row r="242" spans="2:13">
      <c r="B242" s="125"/>
      <c r="C242" s="16"/>
      <c r="D242" s="31" t="s">
        <v>454</v>
      </c>
      <c r="E242" s="32" t="s">
        <v>455</v>
      </c>
      <c r="F242" s="13" t="b">
        <v>0</v>
      </c>
      <c r="G242" s="13" t="b">
        <v>0</v>
      </c>
      <c r="H242" s="13" t="b">
        <v>0</v>
      </c>
      <c r="I242" s="13" t="b">
        <v>0</v>
      </c>
      <c r="J242" s="13" t="b">
        <v>0</v>
      </c>
      <c r="K242" s="76"/>
      <c r="L242" s="105">
        <f t="shared" si="3"/>
        <v>0</v>
      </c>
      <c r="M242" s="76"/>
    </row>
    <row r="243" spans="2:13" ht="24">
      <c r="B243" s="125">
        <v>46052</v>
      </c>
      <c r="C243" s="16" t="s">
        <v>69</v>
      </c>
      <c r="D243" s="31" t="s">
        <v>456</v>
      </c>
      <c r="E243" s="32" t="s">
        <v>457</v>
      </c>
      <c r="F243" s="13" t="b">
        <v>1</v>
      </c>
      <c r="G243" s="13" t="b">
        <v>1</v>
      </c>
      <c r="H243" s="13" t="b">
        <v>0</v>
      </c>
      <c r="I243" s="13" t="b">
        <v>0</v>
      </c>
      <c r="J243" s="13" t="b">
        <v>0</v>
      </c>
      <c r="K243" s="105">
        <v>17</v>
      </c>
      <c r="L243" s="105">
        <f t="shared" si="3"/>
        <v>9</v>
      </c>
      <c r="M243" s="105">
        <v>8</v>
      </c>
    </row>
    <row r="244" spans="2:13">
      <c r="B244" s="125"/>
      <c r="C244" s="16"/>
      <c r="D244" s="31" t="s">
        <v>458</v>
      </c>
      <c r="E244" s="32" t="s">
        <v>459</v>
      </c>
      <c r="F244" s="13" t="b">
        <v>0</v>
      </c>
      <c r="G244" s="13" t="b">
        <v>0</v>
      </c>
      <c r="H244" s="13" t="b">
        <v>0</v>
      </c>
      <c r="I244" s="13" t="b">
        <v>0</v>
      </c>
      <c r="J244" s="13" t="b">
        <v>0</v>
      </c>
      <c r="K244" s="76"/>
      <c r="L244" s="105">
        <f t="shared" si="3"/>
        <v>0</v>
      </c>
      <c r="M244" s="76"/>
    </row>
    <row r="245" spans="2:13">
      <c r="B245" s="125">
        <v>46052</v>
      </c>
      <c r="C245" s="16" t="s">
        <v>69</v>
      </c>
      <c r="D245" s="31" t="s">
        <v>460</v>
      </c>
      <c r="E245" s="32" t="s">
        <v>248</v>
      </c>
      <c r="F245" s="13" t="b">
        <v>1</v>
      </c>
      <c r="G245" s="13" t="b">
        <v>0</v>
      </c>
      <c r="H245" s="13" t="b">
        <v>0</v>
      </c>
      <c r="I245" s="13" t="b">
        <v>0</v>
      </c>
      <c r="J245" s="13" t="b">
        <v>0</v>
      </c>
      <c r="K245" s="105">
        <v>12</v>
      </c>
      <c r="L245" s="105">
        <f t="shared" si="3"/>
        <v>12</v>
      </c>
      <c r="M245" s="105"/>
    </row>
    <row r="246" spans="2:13" ht="24">
      <c r="B246" s="125"/>
      <c r="C246" s="16"/>
      <c r="D246" s="31" t="s">
        <v>461</v>
      </c>
      <c r="E246" s="32" t="s">
        <v>462</v>
      </c>
      <c r="F246" s="13" t="b">
        <v>0</v>
      </c>
      <c r="G246" s="13" t="b">
        <v>0</v>
      </c>
      <c r="H246" s="13" t="b">
        <v>0</v>
      </c>
      <c r="I246" s="13" t="b">
        <v>0</v>
      </c>
      <c r="J246" s="13" t="b">
        <v>0</v>
      </c>
      <c r="K246" s="76"/>
      <c r="L246" s="105">
        <f t="shared" si="3"/>
        <v>0</v>
      </c>
      <c r="M246" s="76"/>
    </row>
    <row r="247" spans="2:13" ht="24">
      <c r="B247" s="125"/>
      <c r="C247" s="16"/>
      <c r="D247" s="31" t="s">
        <v>463</v>
      </c>
      <c r="E247" s="32" t="s">
        <v>464</v>
      </c>
      <c r="F247" s="13" t="b">
        <v>0</v>
      </c>
      <c r="G247" s="13" t="b">
        <v>0</v>
      </c>
      <c r="H247" s="13" t="b">
        <v>0</v>
      </c>
      <c r="I247" s="13" t="b">
        <v>0</v>
      </c>
      <c r="J247" s="13" t="b">
        <v>0</v>
      </c>
      <c r="K247" s="105"/>
      <c r="L247" s="105">
        <f t="shared" si="3"/>
        <v>0</v>
      </c>
      <c r="M247" s="105"/>
    </row>
    <row r="248" spans="2:13">
      <c r="B248" s="125"/>
      <c r="C248" s="16"/>
      <c r="D248" s="31" t="s">
        <v>465</v>
      </c>
      <c r="E248" s="32" t="s">
        <v>466</v>
      </c>
      <c r="F248" s="13" t="b">
        <v>0</v>
      </c>
      <c r="G248" s="13" t="b">
        <v>0</v>
      </c>
      <c r="H248" s="13" t="b">
        <v>0</v>
      </c>
      <c r="I248" s="13" t="b">
        <v>0</v>
      </c>
      <c r="J248" s="13" t="b">
        <v>0</v>
      </c>
      <c r="K248" s="76"/>
      <c r="L248" s="105">
        <f t="shared" si="3"/>
        <v>0</v>
      </c>
      <c r="M248" s="76"/>
    </row>
    <row r="249" spans="2:13">
      <c r="B249" s="125"/>
      <c r="C249" s="16"/>
      <c r="D249" s="31" t="s">
        <v>467</v>
      </c>
      <c r="E249" s="32" t="s">
        <v>468</v>
      </c>
      <c r="F249" s="13" t="b">
        <v>0</v>
      </c>
      <c r="G249" s="13" t="b">
        <v>0</v>
      </c>
      <c r="H249" s="13" t="b">
        <v>0</v>
      </c>
      <c r="I249" s="13" t="b">
        <v>0</v>
      </c>
      <c r="J249" s="13" t="b">
        <v>0</v>
      </c>
      <c r="K249" s="105"/>
      <c r="L249" s="105">
        <f t="shared" si="3"/>
        <v>0</v>
      </c>
      <c r="M249" s="105"/>
    </row>
    <row r="250" spans="2:13">
      <c r="B250" s="125"/>
      <c r="C250" s="16"/>
      <c r="D250" s="31" t="s">
        <v>469</v>
      </c>
      <c r="E250" s="32" t="s">
        <v>470</v>
      </c>
      <c r="F250" s="13" t="b">
        <v>0</v>
      </c>
      <c r="G250" s="13" t="b">
        <v>0</v>
      </c>
      <c r="H250" s="13" t="b">
        <v>0</v>
      </c>
      <c r="I250" s="13" t="b">
        <v>0</v>
      </c>
      <c r="J250" s="13" t="b">
        <v>0</v>
      </c>
      <c r="K250" s="76"/>
      <c r="L250" s="105">
        <f t="shared" si="3"/>
        <v>0</v>
      </c>
      <c r="M250" s="76"/>
    </row>
    <row r="251" spans="2:13" ht="40.5">
      <c r="B251" s="125">
        <v>46043</v>
      </c>
      <c r="C251" s="16" t="s">
        <v>69</v>
      </c>
      <c r="D251" s="30" t="s">
        <v>471</v>
      </c>
      <c r="E251" s="29" t="s">
        <v>472</v>
      </c>
      <c r="F251" s="13" t="b">
        <v>1</v>
      </c>
      <c r="G251" s="13" t="b">
        <v>1</v>
      </c>
      <c r="H251" s="13" t="b">
        <v>0</v>
      </c>
      <c r="I251" s="13" t="b">
        <v>0</v>
      </c>
      <c r="J251" s="13" t="b">
        <v>0</v>
      </c>
      <c r="K251" s="105">
        <v>23</v>
      </c>
      <c r="L251" s="105">
        <f t="shared" si="3"/>
        <v>14</v>
      </c>
      <c r="M251" s="105">
        <v>9</v>
      </c>
    </row>
    <row r="252" spans="2:13" ht="24">
      <c r="B252" s="125">
        <v>46070</v>
      </c>
      <c r="C252" s="16" t="s">
        <v>66</v>
      </c>
      <c r="D252" s="31" t="s">
        <v>473</v>
      </c>
      <c r="E252" s="32" t="s">
        <v>474</v>
      </c>
      <c r="F252" s="13" t="b">
        <v>1</v>
      </c>
      <c r="G252" s="13" t="b">
        <v>0</v>
      </c>
      <c r="H252" s="13" t="b">
        <v>0</v>
      </c>
      <c r="I252" s="13" t="b">
        <v>0</v>
      </c>
      <c r="J252" s="13" t="b">
        <v>0</v>
      </c>
      <c r="K252" s="76">
        <v>17</v>
      </c>
      <c r="L252" s="105">
        <f t="shared" si="3"/>
        <v>17</v>
      </c>
      <c r="M252" s="76"/>
    </row>
    <row r="253" spans="2:13" ht="24">
      <c r="B253" s="125"/>
      <c r="C253" s="16"/>
      <c r="D253" s="31" t="s">
        <v>475</v>
      </c>
      <c r="E253" s="32" t="s">
        <v>476</v>
      </c>
      <c r="F253" s="13" t="b">
        <v>0</v>
      </c>
      <c r="G253" s="13" t="b">
        <v>0</v>
      </c>
      <c r="H253" s="13" t="b">
        <v>0</v>
      </c>
      <c r="I253" s="13" t="b">
        <v>0</v>
      </c>
      <c r="J253" s="13" t="b">
        <v>0</v>
      </c>
      <c r="K253" s="105"/>
      <c r="L253" s="105">
        <f t="shared" si="3"/>
        <v>0</v>
      </c>
      <c r="M253" s="105"/>
    </row>
    <row r="254" spans="2:13">
      <c r="B254" s="125"/>
      <c r="C254" s="16"/>
      <c r="D254" s="31" t="s">
        <v>477</v>
      </c>
      <c r="E254" s="35" t="s">
        <v>478</v>
      </c>
      <c r="F254" s="13" t="b">
        <v>0</v>
      </c>
      <c r="G254" s="13" t="b">
        <v>0</v>
      </c>
      <c r="H254" s="13" t="b">
        <v>0</v>
      </c>
      <c r="I254" s="13" t="b">
        <v>0</v>
      </c>
      <c r="J254" s="13" t="b">
        <v>0</v>
      </c>
      <c r="K254" s="76"/>
      <c r="L254" s="105">
        <f t="shared" si="3"/>
        <v>0</v>
      </c>
      <c r="M254" s="76"/>
    </row>
    <row r="255" spans="2:13" ht="24">
      <c r="B255" s="125">
        <v>46063</v>
      </c>
      <c r="C255" s="16" t="s">
        <v>91</v>
      </c>
      <c r="D255" s="31" t="s">
        <v>479</v>
      </c>
      <c r="E255" s="32" t="s">
        <v>480</v>
      </c>
      <c r="F255" s="13" t="b">
        <v>1</v>
      </c>
      <c r="G255" s="13" t="b">
        <v>1</v>
      </c>
      <c r="H255" s="13" t="b">
        <v>0</v>
      </c>
      <c r="I255" s="13" t="b">
        <v>0</v>
      </c>
      <c r="J255" s="13" t="b">
        <v>0</v>
      </c>
      <c r="K255" s="105">
        <v>57</v>
      </c>
      <c r="L255" s="105">
        <f t="shared" si="3"/>
        <v>42</v>
      </c>
      <c r="M255" s="105">
        <v>15</v>
      </c>
    </row>
    <row r="256" spans="2:13">
      <c r="B256" s="125"/>
      <c r="C256" s="16"/>
      <c r="D256" s="31" t="s">
        <v>481</v>
      </c>
      <c r="E256" s="32" t="s">
        <v>272</v>
      </c>
      <c r="F256" s="13" t="b">
        <v>0</v>
      </c>
      <c r="G256" s="13" t="b">
        <v>0</v>
      </c>
      <c r="H256" s="13" t="b">
        <v>0</v>
      </c>
      <c r="I256" s="13" t="b">
        <v>0</v>
      </c>
      <c r="J256" s="13" t="b">
        <v>0</v>
      </c>
      <c r="K256" s="76"/>
      <c r="L256" s="105">
        <f t="shared" si="3"/>
        <v>0</v>
      </c>
      <c r="M256" s="76"/>
    </row>
    <row r="257" spans="2:13" ht="24">
      <c r="B257" s="125">
        <v>46070</v>
      </c>
      <c r="C257" s="16" t="s">
        <v>53</v>
      </c>
      <c r="D257" s="31" t="s">
        <v>482</v>
      </c>
      <c r="E257" s="32" t="s">
        <v>483</v>
      </c>
      <c r="F257" s="13" t="b">
        <v>1</v>
      </c>
      <c r="G257" s="13" t="b">
        <v>1</v>
      </c>
      <c r="H257" s="13" t="b">
        <v>0</v>
      </c>
      <c r="I257" s="13" t="b">
        <v>0</v>
      </c>
      <c r="J257" s="13" t="b">
        <v>0</v>
      </c>
      <c r="K257" s="105">
        <v>32</v>
      </c>
      <c r="L257" s="105">
        <f t="shared" si="3"/>
        <v>22</v>
      </c>
      <c r="M257" s="105">
        <v>10</v>
      </c>
    </row>
    <row r="258" spans="2:13">
      <c r="B258" s="125"/>
      <c r="C258" s="16"/>
      <c r="D258" s="31" t="s">
        <v>484</v>
      </c>
      <c r="E258" s="35" t="s">
        <v>485</v>
      </c>
      <c r="F258" s="13" t="b">
        <v>0</v>
      </c>
      <c r="G258" s="13" t="b">
        <v>0</v>
      </c>
      <c r="H258" s="13" t="b">
        <v>0</v>
      </c>
      <c r="I258" s="13" t="b">
        <v>0</v>
      </c>
      <c r="J258" s="13" t="b">
        <v>0</v>
      </c>
      <c r="K258" s="76"/>
      <c r="L258" s="105">
        <f t="shared" si="3"/>
        <v>0</v>
      </c>
      <c r="M258" s="76"/>
    </row>
    <row r="259" spans="2:13">
      <c r="B259" s="125">
        <v>46070</v>
      </c>
      <c r="C259" s="16" t="s">
        <v>53</v>
      </c>
      <c r="D259" s="31" t="s">
        <v>486</v>
      </c>
      <c r="E259" s="32" t="s">
        <v>487</v>
      </c>
      <c r="F259" s="13" t="b">
        <v>1</v>
      </c>
      <c r="G259" s="13" t="b">
        <v>1</v>
      </c>
      <c r="H259" s="13" t="b">
        <v>0</v>
      </c>
      <c r="I259" s="13" t="b">
        <v>0</v>
      </c>
      <c r="J259" s="13" t="b">
        <v>0</v>
      </c>
      <c r="K259" s="105">
        <v>47</v>
      </c>
      <c r="L259" s="105">
        <f t="shared" si="3"/>
        <v>34</v>
      </c>
      <c r="M259" s="105">
        <v>13</v>
      </c>
    </row>
    <row r="260" spans="2:13">
      <c r="B260" s="125">
        <v>46112</v>
      </c>
      <c r="C260" s="16" t="s">
        <v>56</v>
      </c>
      <c r="D260" s="31" t="s">
        <v>488</v>
      </c>
      <c r="E260" s="32" t="s">
        <v>489</v>
      </c>
      <c r="F260" s="13" t="b">
        <v>1</v>
      </c>
      <c r="G260" s="13" t="b">
        <v>0</v>
      </c>
      <c r="H260" s="13" t="b">
        <v>0</v>
      </c>
      <c r="I260" s="13" t="b">
        <v>0</v>
      </c>
      <c r="J260" s="13" t="b">
        <v>0</v>
      </c>
      <c r="K260" s="76">
        <v>91</v>
      </c>
      <c r="L260" s="105">
        <f t="shared" si="3"/>
        <v>89</v>
      </c>
      <c r="M260" s="76">
        <v>2</v>
      </c>
    </row>
    <row r="261" spans="2:13" ht="24">
      <c r="B261" s="125">
        <v>46063</v>
      </c>
      <c r="C261" s="16" t="s">
        <v>66</v>
      </c>
      <c r="D261" s="31" t="s">
        <v>490</v>
      </c>
      <c r="E261" s="32" t="s">
        <v>491</v>
      </c>
      <c r="F261" s="13" t="b">
        <v>1</v>
      </c>
      <c r="G261" s="13" t="b">
        <v>0</v>
      </c>
      <c r="H261" s="13" t="b">
        <v>0</v>
      </c>
      <c r="I261" s="13" t="b">
        <v>0</v>
      </c>
      <c r="J261" s="13" t="b">
        <v>0</v>
      </c>
      <c r="K261" s="105">
        <v>18</v>
      </c>
      <c r="L261" s="105">
        <f t="shared" si="3"/>
        <v>18</v>
      </c>
      <c r="M261" s="105"/>
    </row>
    <row r="262" spans="2:13" ht="24">
      <c r="B262" s="125">
        <v>46063</v>
      </c>
      <c r="C262" s="16" t="s">
        <v>94</v>
      </c>
      <c r="D262" s="31" t="s">
        <v>492</v>
      </c>
      <c r="E262" s="32" t="s">
        <v>493</v>
      </c>
      <c r="F262" s="13" t="b">
        <v>1</v>
      </c>
      <c r="G262" s="13" t="b">
        <v>0</v>
      </c>
      <c r="H262" s="13" t="b">
        <v>0</v>
      </c>
      <c r="I262" s="13" t="b">
        <v>0</v>
      </c>
      <c r="J262" s="13" t="b">
        <v>0</v>
      </c>
      <c r="K262" s="76">
        <v>21</v>
      </c>
      <c r="L262" s="105">
        <f t="shared" si="3"/>
        <v>19</v>
      </c>
      <c r="M262" s="76">
        <v>2</v>
      </c>
    </row>
    <row r="263" spans="2:13" ht="24">
      <c r="B263" s="125">
        <v>46063</v>
      </c>
      <c r="C263" s="16" t="s">
        <v>94</v>
      </c>
      <c r="D263" s="110" t="s">
        <v>494</v>
      </c>
      <c r="E263" s="107" t="s">
        <v>495</v>
      </c>
      <c r="F263" s="13" t="b">
        <v>1</v>
      </c>
      <c r="G263" s="13" t="b">
        <v>0</v>
      </c>
      <c r="H263" s="13" t="b">
        <v>0</v>
      </c>
      <c r="I263" s="13" t="b">
        <v>0</v>
      </c>
      <c r="J263" s="13" t="b">
        <v>0</v>
      </c>
      <c r="K263" s="105">
        <v>14</v>
      </c>
      <c r="L263" s="105">
        <f t="shared" ref="L263:L326" si="4">K263-M263</f>
        <v>11</v>
      </c>
      <c r="M263" s="105">
        <v>3</v>
      </c>
    </row>
    <row r="264" spans="2:13" ht="24">
      <c r="B264" s="125">
        <v>46112</v>
      </c>
      <c r="C264" s="16" t="s">
        <v>275</v>
      </c>
      <c r="D264" s="31" t="s">
        <v>496</v>
      </c>
      <c r="E264" s="32" t="s">
        <v>497</v>
      </c>
      <c r="F264" s="13" t="b">
        <v>1</v>
      </c>
      <c r="G264" s="13" t="b">
        <v>0</v>
      </c>
      <c r="H264" s="13" t="b">
        <v>0</v>
      </c>
      <c r="I264" s="13" t="b">
        <v>0</v>
      </c>
      <c r="J264" s="13" t="b">
        <v>0</v>
      </c>
      <c r="K264" s="76">
        <v>57</v>
      </c>
      <c r="L264" s="105">
        <f t="shared" si="4"/>
        <v>54</v>
      </c>
      <c r="M264" s="76">
        <v>3</v>
      </c>
    </row>
    <row r="265" spans="2:13" ht="24">
      <c r="B265" s="125"/>
      <c r="C265" s="16"/>
      <c r="D265" s="31" t="s">
        <v>498</v>
      </c>
      <c r="E265" s="32" t="s">
        <v>499</v>
      </c>
      <c r="F265" s="13" t="b">
        <v>0</v>
      </c>
      <c r="G265" s="13" t="b">
        <v>0</v>
      </c>
      <c r="H265" s="13" t="b">
        <v>0</v>
      </c>
      <c r="I265" s="13" t="b">
        <v>0</v>
      </c>
      <c r="J265" s="13" t="b">
        <v>0</v>
      </c>
      <c r="K265" s="105"/>
      <c r="L265" s="105">
        <f t="shared" si="4"/>
        <v>0</v>
      </c>
      <c r="M265" s="105"/>
    </row>
    <row r="266" spans="2:13">
      <c r="B266" s="125">
        <v>46070</v>
      </c>
      <c r="C266" s="16" t="s">
        <v>56</v>
      </c>
      <c r="D266" s="31" t="s">
        <v>500</v>
      </c>
      <c r="E266" s="32" t="s">
        <v>501</v>
      </c>
      <c r="F266" s="13" t="b">
        <v>1</v>
      </c>
      <c r="G266" s="13" t="b">
        <v>1</v>
      </c>
      <c r="H266" s="13" t="b">
        <v>0</v>
      </c>
      <c r="I266" s="13" t="b">
        <v>0</v>
      </c>
      <c r="J266" s="13" t="b">
        <v>0</v>
      </c>
      <c r="K266" s="76">
        <v>31</v>
      </c>
      <c r="L266" s="105">
        <f t="shared" si="4"/>
        <v>21</v>
      </c>
      <c r="M266" s="76">
        <v>10</v>
      </c>
    </row>
    <row r="267" spans="2:13">
      <c r="B267" s="125">
        <v>46070</v>
      </c>
      <c r="C267" s="16" t="s">
        <v>91</v>
      </c>
      <c r="D267" s="110" t="s">
        <v>502</v>
      </c>
      <c r="E267" s="32" t="s">
        <v>503</v>
      </c>
      <c r="F267" s="13" t="b">
        <v>1</v>
      </c>
      <c r="G267" s="13" t="b">
        <v>0</v>
      </c>
      <c r="H267" s="13" t="b">
        <v>0</v>
      </c>
      <c r="I267" s="13" t="b">
        <v>0</v>
      </c>
      <c r="J267" s="13" t="b">
        <v>0</v>
      </c>
      <c r="K267" s="105">
        <v>3</v>
      </c>
      <c r="L267" s="105">
        <f t="shared" si="4"/>
        <v>3</v>
      </c>
      <c r="M267" s="105"/>
    </row>
    <row r="268" spans="2:13" ht="24">
      <c r="B268" s="125">
        <v>46070</v>
      </c>
      <c r="C268" s="16" t="s">
        <v>56</v>
      </c>
      <c r="D268" s="31" t="s">
        <v>504</v>
      </c>
      <c r="E268" s="32" t="s">
        <v>505</v>
      </c>
      <c r="F268" s="13" t="b">
        <v>1</v>
      </c>
      <c r="G268" s="13" t="b">
        <v>0</v>
      </c>
      <c r="H268" s="13" t="b">
        <v>0</v>
      </c>
      <c r="I268" s="13" t="b">
        <v>0</v>
      </c>
      <c r="J268" s="13" t="b">
        <v>0</v>
      </c>
      <c r="K268" s="76">
        <v>18</v>
      </c>
      <c r="L268" s="105">
        <f t="shared" si="4"/>
        <v>16</v>
      </c>
      <c r="M268" s="76">
        <v>2</v>
      </c>
    </row>
    <row r="269" spans="2:13" ht="24">
      <c r="B269" s="125">
        <v>46070</v>
      </c>
      <c r="C269" s="16" t="s">
        <v>56</v>
      </c>
      <c r="D269" s="31" t="s">
        <v>506</v>
      </c>
      <c r="E269" s="32" t="s">
        <v>507</v>
      </c>
      <c r="F269" s="13" t="b">
        <v>1</v>
      </c>
      <c r="G269" s="13" t="b">
        <v>1</v>
      </c>
      <c r="H269" s="13" t="b">
        <v>0</v>
      </c>
      <c r="I269" s="13" t="b">
        <v>0</v>
      </c>
      <c r="J269" s="13" t="b">
        <v>0</v>
      </c>
      <c r="K269" s="105">
        <v>17</v>
      </c>
      <c r="L269" s="105">
        <f t="shared" si="4"/>
        <v>11</v>
      </c>
      <c r="M269" s="105">
        <v>6</v>
      </c>
    </row>
    <row r="270" spans="2:13">
      <c r="B270" s="125"/>
      <c r="C270" s="16"/>
      <c r="D270" s="31" t="s">
        <v>508</v>
      </c>
      <c r="E270" s="32" t="s">
        <v>509</v>
      </c>
      <c r="F270" s="13" t="b">
        <v>0</v>
      </c>
      <c r="G270" s="13" t="b">
        <v>0</v>
      </c>
      <c r="H270" s="13" t="b">
        <v>0</v>
      </c>
      <c r="I270" s="13" t="b">
        <v>0</v>
      </c>
      <c r="J270" s="13" t="b">
        <v>0</v>
      </c>
      <c r="K270" s="76"/>
      <c r="L270" s="105">
        <f t="shared" si="4"/>
        <v>0</v>
      </c>
      <c r="M270" s="76"/>
    </row>
    <row r="271" spans="2:13">
      <c r="B271" s="125">
        <v>46070</v>
      </c>
      <c r="C271" s="16" t="s">
        <v>267</v>
      </c>
      <c r="D271" s="31" t="s">
        <v>510</v>
      </c>
      <c r="E271" s="32" t="s">
        <v>511</v>
      </c>
      <c r="F271" s="13" t="b">
        <v>1</v>
      </c>
      <c r="G271" s="13" t="b">
        <v>0</v>
      </c>
      <c r="H271" s="13" t="b">
        <v>0</v>
      </c>
      <c r="I271" s="13" t="b">
        <v>0</v>
      </c>
      <c r="J271" s="13" t="b">
        <v>0</v>
      </c>
      <c r="K271" s="105">
        <v>21</v>
      </c>
      <c r="L271" s="105">
        <f t="shared" si="4"/>
        <v>18</v>
      </c>
      <c r="M271" s="105">
        <v>3</v>
      </c>
    </row>
    <row r="272" spans="2:13">
      <c r="B272" s="125"/>
      <c r="C272" s="16"/>
      <c r="D272" s="31" t="s">
        <v>512</v>
      </c>
      <c r="E272" s="32" t="s">
        <v>513</v>
      </c>
      <c r="F272" s="13" t="b">
        <v>0</v>
      </c>
      <c r="G272" s="13" t="b">
        <v>0</v>
      </c>
      <c r="H272" s="13" t="b">
        <v>0</v>
      </c>
      <c r="I272" s="13" t="b">
        <v>0</v>
      </c>
      <c r="J272" s="13" t="b">
        <v>0</v>
      </c>
      <c r="K272" s="76"/>
      <c r="L272" s="105">
        <f t="shared" si="4"/>
        <v>0</v>
      </c>
      <c r="M272" s="76"/>
    </row>
    <row r="273" spans="2:13">
      <c r="B273" s="125"/>
      <c r="C273" s="16"/>
      <c r="D273" s="31" t="s">
        <v>514</v>
      </c>
      <c r="E273" s="32" t="s">
        <v>272</v>
      </c>
      <c r="F273" s="13" t="b">
        <v>0</v>
      </c>
      <c r="G273" s="13" t="b">
        <v>0</v>
      </c>
      <c r="H273" s="13" t="b">
        <v>0</v>
      </c>
      <c r="I273" s="13" t="b">
        <v>0</v>
      </c>
      <c r="J273" s="13" t="b">
        <v>0</v>
      </c>
      <c r="K273" s="105"/>
      <c r="L273" s="105">
        <f t="shared" si="4"/>
        <v>0</v>
      </c>
      <c r="M273" s="105"/>
    </row>
    <row r="274" spans="2:13" ht="24">
      <c r="B274" s="125">
        <v>46063</v>
      </c>
      <c r="C274" s="16" t="s">
        <v>85</v>
      </c>
      <c r="D274" s="31" t="s">
        <v>515</v>
      </c>
      <c r="E274" s="32" t="s">
        <v>516</v>
      </c>
      <c r="F274" s="13" t="b">
        <v>1</v>
      </c>
      <c r="G274" s="13" t="b">
        <v>0</v>
      </c>
      <c r="H274" s="13" t="b">
        <v>0</v>
      </c>
      <c r="I274" s="13" t="b">
        <v>0</v>
      </c>
      <c r="J274" s="13" t="b">
        <v>0</v>
      </c>
      <c r="K274" s="76">
        <v>23</v>
      </c>
      <c r="L274" s="105">
        <f t="shared" si="4"/>
        <v>21</v>
      </c>
      <c r="M274" s="76">
        <v>2</v>
      </c>
    </row>
    <row r="275" spans="2:13">
      <c r="B275" s="125">
        <v>46112</v>
      </c>
      <c r="C275" s="16" t="s">
        <v>66</v>
      </c>
      <c r="D275" s="31" t="s">
        <v>517</v>
      </c>
      <c r="E275" s="32" t="s">
        <v>518</v>
      </c>
      <c r="F275" s="13" t="b">
        <v>1</v>
      </c>
      <c r="G275" s="13" t="b">
        <v>1</v>
      </c>
      <c r="H275" s="13" t="b">
        <v>0</v>
      </c>
      <c r="I275" s="13" t="b">
        <v>0</v>
      </c>
      <c r="J275" s="13" t="b">
        <v>0</v>
      </c>
      <c r="K275" s="105">
        <v>35</v>
      </c>
      <c r="L275" s="105">
        <f t="shared" si="4"/>
        <v>26</v>
      </c>
      <c r="M275" s="105">
        <v>9</v>
      </c>
    </row>
    <row r="276" spans="2:13">
      <c r="B276" s="125">
        <v>46112</v>
      </c>
      <c r="C276" s="16" t="s">
        <v>66</v>
      </c>
      <c r="D276" s="31" t="s">
        <v>519</v>
      </c>
      <c r="E276" s="32" t="s">
        <v>520</v>
      </c>
      <c r="F276" s="13" t="b">
        <v>1</v>
      </c>
      <c r="G276" s="13" t="b">
        <v>0</v>
      </c>
      <c r="H276" s="13" t="b">
        <v>0</v>
      </c>
      <c r="I276" s="13" t="b">
        <v>0</v>
      </c>
      <c r="J276" s="13" t="b">
        <v>0</v>
      </c>
      <c r="K276" s="76">
        <v>13</v>
      </c>
      <c r="L276" s="105">
        <f t="shared" si="4"/>
        <v>11</v>
      </c>
      <c r="M276" s="76">
        <v>2</v>
      </c>
    </row>
    <row r="277" spans="2:13">
      <c r="B277" s="125">
        <v>46063</v>
      </c>
      <c r="C277" s="16" t="s">
        <v>91</v>
      </c>
      <c r="D277" s="31" t="s">
        <v>521</v>
      </c>
      <c r="E277" s="32" t="s">
        <v>522</v>
      </c>
      <c r="F277" s="13" t="b">
        <v>1</v>
      </c>
      <c r="G277" s="13" t="b">
        <v>1</v>
      </c>
      <c r="H277" s="13" t="b">
        <v>0</v>
      </c>
      <c r="I277" s="13" t="b">
        <v>0</v>
      </c>
      <c r="J277" s="13" t="b">
        <v>0</v>
      </c>
      <c r="K277" s="105">
        <v>50</v>
      </c>
      <c r="L277" s="105">
        <f t="shared" si="4"/>
        <v>35</v>
      </c>
      <c r="M277" s="105">
        <v>15</v>
      </c>
    </row>
    <row r="278" spans="2:13">
      <c r="B278" s="125">
        <v>46063</v>
      </c>
      <c r="C278" s="16" t="s">
        <v>91</v>
      </c>
      <c r="D278" s="31" t="s">
        <v>523</v>
      </c>
      <c r="E278" s="32" t="s">
        <v>524</v>
      </c>
      <c r="F278" s="13" t="b">
        <v>1</v>
      </c>
      <c r="G278" s="13" t="b">
        <v>1</v>
      </c>
      <c r="H278" s="13" t="b">
        <v>0</v>
      </c>
      <c r="I278" s="13" t="b">
        <v>0</v>
      </c>
      <c r="J278" s="13" t="b">
        <v>0</v>
      </c>
      <c r="K278" s="76">
        <v>24</v>
      </c>
      <c r="L278" s="105">
        <f t="shared" si="4"/>
        <v>11</v>
      </c>
      <c r="M278" s="76">
        <v>13</v>
      </c>
    </row>
    <row r="279" spans="2:13" ht="24">
      <c r="B279" s="125">
        <v>46063</v>
      </c>
      <c r="C279" s="16" t="s">
        <v>66</v>
      </c>
      <c r="D279" s="110" t="s">
        <v>525</v>
      </c>
      <c r="E279" s="32" t="s">
        <v>474</v>
      </c>
      <c r="F279" s="13" t="b">
        <v>1</v>
      </c>
      <c r="G279" s="13" t="b">
        <v>0</v>
      </c>
      <c r="H279" s="13" t="b">
        <v>0</v>
      </c>
      <c r="I279" s="13" t="b">
        <v>0</v>
      </c>
      <c r="J279" s="13" t="b">
        <v>0</v>
      </c>
      <c r="K279" s="105">
        <v>1</v>
      </c>
      <c r="L279" s="105">
        <f t="shared" si="4"/>
        <v>1</v>
      </c>
      <c r="M279" s="105"/>
    </row>
    <row r="280" spans="2:13">
      <c r="B280" s="125">
        <v>46063</v>
      </c>
      <c r="C280" s="16" t="s">
        <v>85</v>
      </c>
      <c r="D280" s="31" t="s">
        <v>526</v>
      </c>
      <c r="E280" s="32" t="s">
        <v>527</v>
      </c>
      <c r="F280" s="13" t="b">
        <v>1</v>
      </c>
      <c r="G280" s="13" t="b">
        <v>0</v>
      </c>
      <c r="H280" s="13" t="b">
        <v>0</v>
      </c>
      <c r="I280" s="13" t="b">
        <v>0</v>
      </c>
      <c r="J280" s="13" t="b">
        <v>0</v>
      </c>
      <c r="K280" s="76">
        <v>17</v>
      </c>
      <c r="L280" s="105">
        <f t="shared" si="4"/>
        <v>16</v>
      </c>
      <c r="M280" s="76">
        <v>1</v>
      </c>
    </row>
    <row r="281" spans="2:13">
      <c r="B281" s="125"/>
      <c r="C281" s="16"/>
      <c r="D281" s="31" t="s">
        <v>528</v>
      </c>
      <c r="E281" s="32" t="s">
        <v>529</v>
      </c>
      <c r="F281" s="13" t="b">
        <v>0</v>
      </c>
      <c r="G281" s="13" t="b">
        <v>0</v>
      </c>
      <c r="H281" s="13" t="b">
        <v>0</v>
      </c>
      <c r="I281" s="13" t="b">
        <v>0</v>
      </c>
      <c r="J281" s="13" t="b">
        <v>0</v>
      </c>
      <c r="K281" s="105"/>
      <c r="L281" s="105">
        <f t="shared" si="4"/>
        <v>0</v>
      </c>
      <c r="M281" s="105"/>
    </row>
    <row r="282" spans="2:13" ht="36">
      <c r="B282" s="125">
        <v>46063</v>
      </c>
      <c r="C282" s="16" t="s">
        <v>94</v>
      </c>
      <c r="D282" s="31" t="s">
        <v>530</v>
      </c>
      <c r="E282" s="32" t="s">
        <v>531</v>
      </c>
      <c r="F282" s="13" t="b">
        <v>1</v>
      </c>
      <c r="G282" s="13" t="b">
        <v>1</v>
      </c>
      <c r="H282" s="13" t="b">
        <v>0</v>
      </c>
      <c r="I282" s="13" t="b">
        <v>0</v>
      </c>
      <c r="J282" s="13" t="b">
        <v>0</v>
      </c>
      <c r="K282" s="76">
        <v>21</v>
      </c>
      <c r="L282" s="105">
        <f t="shared" si="4"/>
        <v>13</v>
      </c>
      <c r="M282" s="76">
        <v>8</v>
      </c>
    </row>
    <row r="283" spans="2:13">
      <c r="B283" s="125">
        <v>46063</v>
      </c>
      <c r="C283" s="16" t="s">
        <v>96</v>
      </c>
      <c r="D283" s="31" t="s">
        <v>532</v>
      </c>
      <c r="E283" s="32" t="s">
        <v>533</v>
      </c>
      <c r="F283" s="13" t="b">
        <v>1</v>
      </c>
      <c r="G283" s="13" t="b">
        <v>1</v>
      </c>
      <c r="H283" s="13" t="b">
        <v>0</v>
      </c>
      <c r="I283" s="13" t="b">
        <v>0</v>
      </c>
      <c r="J283" s="13" t="b">
        <v>0</v>
      </c>
      <c r="K283" s="105">
        <v>42</v>
      </c>
      <c r="L283" s="105">
        <f t="shared" si="4"/>
        <v>26</v>
      </c>
      <c r="M283" s="105">
        <v>16</v>
      </c>
    </row>
    <row r="284" spans="2:13" ht="41.25">
      <c r="B284" s="125"/>
      <c r="C284" s="16"/>
      <c r="D284" s="31" t="s">
        <v>534</v>
      </c>
      <c r="E284" s="36" t="s">
        <v>535</v>
      </c>
      <c r="F284" s="13" t="b">
        <v>0</v>
      </c>
      <c r="G284" s="13" t="b">
        <v>0</v>
      </c>
      <c r="H284" s="13" t="b">
        <v>0</v>
      </c>
      <c r="I284" s="13" t="b">
        <v>0</v>
      </c>
      <c r="J284" s="13" t="b">
        <v>0</v>
      </c>
      <c r="K284" s="76"/>
      <c r="L284" s="105">
        <f t="shared" si="4"/>
        <v>0</v>
      </c>
      <c r="M284" s="76"/>
    </row>
    <row r="285" spans="2:13">
      <c r="B285" s="125"/>
      <c r="C285" s="16"/>
      <c r="D285" s="31" t="s">
        <v>536</v>
      </c>
      <c r="E285" s="32" t="s">
        <v>272</v>
      </c>
      <c r="F285" s="13" t="b">
        <v>0</v>
      </c>
      <c r="G285" s="13" t="b">
        <v>0</v>
      </c>
      <c r="H285" s="13" t="b">
        <v>0</v>
      </c>
      <c r="I285" s="13" t="b">
        <v>0</v>
      </c>
      <c r="J285" s="13" t="b">
        <v>0</v>
      </c>
      <c r="K285" s="105"/>
      <c r="L285" s="105">
        <f t="shared" si="4"/>
        <v>0</v>
      </c>
      <c r="M285" s="105"/>
    </row>
    <row r="286" spans="2:13" ht="36">
      <c r="B286" s="125">
        <v>46112</v>
      </c>
      <c r="C286" s="16" t="s">
        <v>85</v>
      </c>
      <c r="D286" s="31" t="s">
        <v>537</v>
      </c>
      <c r="E286" s="32" t="s">
        <v>538</v>
      </c>
      <c r="F286" s="13" t="b">
        <v>1</v>
      </c>
      <c r="G286" s="13" t="b">
        <v>1</v>
      </c>
      <c r="H286" s="13" t="b">
        <v>0</v>
      </c>
      <c r="I286" s="13" t="b">
        <v>0</v>
      </c>
      <c r="J286" s="13" t="b">
        <v>0</v>
      </c>
      <c r="K286" s="76">
        <v>35</v>
      </c>
      <c r="L286" s="105">
        <f t="shared" si="4"/>
        <v>27</v>
      </c>
      <c r="M286" s="76">
        <v>8</v>
      </c>
    </row>
    <row r="287" spans="2:13">
      <c r="B287" s="125">
        <v>46112</v>
      </c>
      <c r="C287" s="16" t="s">
        <v>72</v>
      </c>
      <c r="D287" s="31" t="s">
        <v>539</v>
      </c>
      <c r="E287" s="32" t="s">
        <v>540</v>
      </c>
      <c r="F287" s="13" t="b">
        <v>1</v>
      </c>
      <c r="G287" s="13" t="b">
        <v>0</v>
      </c>
      <c r="H287" s="13" t="b">
        <v>0</v>
      </c>
      <c r="I287" s="13" t="b">
        <v>0</v>
      </c>
      <c r="J287" s="13" t="b">
        <v>0</v>
      </c>
      <c r="K287" s="105">
        <v>35</v>
      </c>
      <c r="L287" s="105">
        <f t="shared" si="4"/>
        <v>34</v>
      </c>
      <c r="M287" s="105">
        <v>1</v>
      </c>
    </row>
    <row r="288" spans="2:13">
      <c r="B288" s="125">
        <v>46051</v>
      </c>
      <c r="C288" s="16" t="s">
        <v>59</v>
      </c>
      <c r="D288" s="31" t="s">
        <v>541</v>
      </c>
      <c r="E288" s="32" t="s">
        <v>542</v>
      </c>
      <c r="F288" s="13" t="b">
        <v>1</v>
      </c>
      <c r="G288" s="13" t="b">
        <v>1</v>
      </c>
      <c r="H288" s="13" t="b">
        <v>0</v>
      </c>
      <c r="I288" s="13" t="b">
        <v>0</v>
      </c>
      <c r="J288" s="13" t="b">
        <v>0</v>
      </c>
      <c r="K288" s="76">
        <v>44</v>
      </c>
      <c r="L288" s="105">
        <f t="shared" si="4"/>
        <v>31</v>
      </c>
      <c r="M288" s="76">
        <v>13</v>
      </c>
    </row>
    <row r="289" spans="2:13">
      <c r="B289" s="125">
        <v>46070</v>
      </c>
      <c r="C289" s="16" t="s">
        <v>85</v>
      </c>
      <c r="D289" s="31" t="s">
        <v>543</v>
      </c>
      <c r="E289" s="32" t="s">
        <v>544</v>
      </c>
      <c r="F289" s="13" t="b">
        <v>1</v>
      </c>
      <c r="G289" s="13" t="b">
        <v>0</v>
      </c>
      <c r="H289" s="13" t="b">
        <v>0</v>
      </c>
      <c r="I289" s="13" t="b">
        <v>0</v>
      </c>
      <c r="J289" s="13" t="b">
        <v>0</v>
      </c>
      <c r="K289" s="105">
        <v>12</v>
      </c>
      <c r="L289" s="105">
        <f t="shared" si="4"/>
        <v>12</v>
      </c>
      <c r="M289" s="105"/>
    </row>
    <row r="290" spans="2:13" ht="24">
      <c r="B290" s="125">
        <v>46051</v>
      </c>
      <c r="C290" s="16" t="s">
        <v>59</v>
      </c>
      <c r="D290" s="31" t="s">
        <v>545</v>
      </c>
      <c r="E290" s="32" t="s">
        <v>546</v>
      </c>
      <c r="F290" s="13" t="b">
        <v>1</v>
      </c>
      <c r="G290" s="13" t="b">
        <v>1</v>
      </c>
      <c r="H290" s="13" t="b">
        <v>0</v>
      </c>
      <c r="I290" s="13" t="b">
        <v>0</v>
      </c>
      <c r="J290" s="13" t="b">
        <v>0</v>
      </c>
      <c r="K290" s="76">
        <v>22</v>
      </c>
      <c r="L290" s="105">
        <f t="shared" si="4"/>
        <v>14</v>
      </c>
      <c r="M290" s="76">
        <v>8</v>
      </c>
    </row>
    <row r="291" spans="2:13" ht="24">
      <c r="B291" s="125">
        <v>46063</v>
      </c>
      <c r="C291" s="16" t="s">
        <v>63</v>
      </c>
      <c r="D291" s="31" t="s">
        <v>547</v>
      </c>
      <c r="E291" s="32" t="s">
        <v>548</v>
      </c>
      <c r="F291" s="13" t="b">
        <v>1</v>
      </c>
      <c r="G291" s="13" t="b">
        <v>1</v>
      </c>
      <c r="H291" s="13" t="b">
        <v>0</v>
      </c>
      <c r="I291" s="13" t="b">
        <v>0</v>
      </c>
      <c r="J291" s="13" t="b">
        <v>0</v>
      </c>
      <c r="K291" s="105">
        <v>30</v>
      </c>
      <c r="L291" s="105">
        <f t="shared" si="4"/>
        <v>21</v>
      </c>
      <c r="M291" s="105">
        <v>9</v>
      </c>
    </row>
    <row r="292" spans="2:13">
      <c r="B292" s="125">
        <v>46112</v>
      </c>
      <c r="C292" s="16" t="s">
        <v>53</v>
      </c>
      <c r="D292" s="31" t="s">
        <v>549</v>
      </c>
      <c r="E292" s="32" t="s">
        <v>550</v>
      </c>
      <c r="F292" s="13" t="b">
        <v>1</v>
      </c>
      <c r="G292" s="13" t="b">
        <v>0</v>
      </c>
      <c r="H292" s="13" t="b">
        <v>0</v>
      </c>
      <c r="I292" s="13" t="b">
        <v>0</v>
      </c>
      <c r="J292" s="13" t="b">
        <v>0</v>
      </c>
      <c r="K292" s="76">
        <v>44</v>
      </c>
      <c r="L292" s="105">
        <f t="shared" si="4"/>
        <v>40</v>
      </c>
      <c r="M292" s="76">
        <v>4</v>
      </c>
    </row>
    <row r="293" spans="2:13" ht="24">
      <c r="B293" s="125">
        <v>46112</v>
      </c>
      <c r="C293" s="16" t="s">
        <v>53</v>
      </c>
      <c r="D293" s="31" t="s">
        <v>551</v>
      </c>
      <c r="E293" s="32" t="s">
        <v>552</v>
      </c>
      <c r="F293" s="13" t="b">
        <v>1</v>
      </c>
      <c r="G293" s="13" t="b">
        <v>0</v>
      </c>
      <c r="H293" s="13" t="b">
        <v>0</v>
      </c>
      <c r="I293" s="13" t="b">
        <v>0</v>
      </c>
      <c r="J293" s="13" t="b">
        <v>0</v>
      </c>
      <c r="K293" s="105">
        <v>50</v>
      </c>
      <c r="L293" s="105">
        <f t="shared" si="4"/>
        <v>44</v>
      </c>
      <c r="M293" s="105">
        <v>6</v>
      </c>
    </row>
    <row r="294" spans="2:13">
      <c r="B294" s="125">
        <v>46112</v>
      </c>
      <c r="C294" s="16" t="s">
        <v>53</v>
      </c>
      <c r="D294" s="31" t="s">
        <v>553</v>
      </c>
      <c r="E294" s="32" t="s">
        <v>554</v>
      </c>
      <c r="F294" s="13" t="b">
        <v>1</v>
      </c>
      <c r="G294" s="13" t="b">
        <v>0</v>
      </c>
      <c r="H294" s="13" t="b">
        <v>0</v>
      </c>
      <c r="I294" s="13" t="b">
        <v>0</v>
      </c>
      <c r="J294" s="13" t="b">
        <v>0</v>
      </c>
      <c r="K294" s="76">
        <v>51</v>
      </c>
      <c r="L294" s="105">
        <f t="shared" si="4"/>
        <v>46</v>
      </c>
      <c r="M294" s="76">
        <v>5</v>
      </c>
    </row>
    <row r="295" spans="2:13">
      <c r="B295" s="125">
        <v>46063</v>
      </c>
      <c r="C295" s="16" t="s">
        <v>63</v>
      </c>
      <c r="D295" s="31" t="s">
        <v>555</v>
      </c>
      <c r="E295" s="32" t="s">
        <v>556</v>
      </c>
      <c r="F295" s="13" t="b">
        <v>1</v>
      </c>
      <c r="G295" s="13" t="b">
        <v>0</v>
      </c>
      <c r="H295" s="13" t="b">
        <v>0</v>
      </c>
      <c r="I295" s="13" t="b">
        <v>0</v>
      </c>
      <c r="J295" s="13" t="b">
        <v>0</v>
      </c>
      <c r="K295" s="105">
        <v>21</v>
      </c>
      <c r="L295" s="105">
        <f t="shared" si="4"/>
        <v>19</v>
      </c>
      <c r="M295" s="105">
        <v>2</v>
      </c>
    </row>
    <row r="296" spans="2:13" ht="24">
      <c r="B296" s="125">
        <v>46063</v>
      </c>
      <c r="C296" s="16" t="s">
        <v>85</v>
      </c>
      <c r="D296" s="31" t="s">
        <v>557</v>
      </c>
      <c r="E296" s="32" t="s">
        <v>558</v>
      </c>
      <c r="F296" s="13" t="b">
        <v>1</v>
      </c>
      <c r="G296" s="13" t="b">
        <v>0</v>
      </c>
      <c r="H296" s="13" t="b">
        <v>0</v>
      </c>
      <c r="I296" s="13" t="b">
        <v>0</v>
      </c>
      <c r="J296" s="13" t="b">
        <v>0</v>
      </c>
      <c r="K296" s="76">
        <v>24</v>
      </c>
      <c r="L296" s="105">
        <f t="shared" si="4"/>
        <v>18</v>
      </c>
      <c r="M296" s="76">
        <v>6</v>
      </c>
    </row>
    <row r="297" spans="2:13">
      <c r="B297" s="125">
        <v>46063</v>
      </c>
      <c r="C297" s="16" t="s">
        <v>63</v>
      </c>
      <c r="D297" s="31" t="s">
        <v>559</v>
      </c>
      <c r="E297" s="32" t="s">
        <v>560</v>
      </c>
      <c r="F297" s="13" t="b">
        <v>1</v>
      </c>
      <c r="G297" s="13" t="b">
        <v>0</v>
      </c>
      <c r="H297" s="13" t="b">
        <v>0</v>
      </c>
      <c r="I297" s="13" t="b">
        <v>0</v>
      </c>
      <c r="J297" s="13" t="b">
        <v>0</v>
      </c>
      <c r="K297" s="105">
        <v>25</v>
      </c>
      <c r="L297" s="105">
        <f t="shared" si="4"/>
        <v>22</v>
      </c>
      <c r="M297" s="105">
        <v>3</v>
      </c>
    </row>
    <row r="298" spans="2:13">
      <c r="B298" s="125">
        <v>46063</v>
      </c>
      <c r="C298" s="16" t="s">
        <v>85</v>
      </c>
      <c r="D298" s="31" t="s">
        <v>561</v>
      </c>
      <c r="E298" s="32" t="s">
        <v>562</v>
      </c>
      <c r="F298" s="13" t="b">
        <v>1</v>
      </c>
      <c r="G298" s="13" t="b">
        <v>0</v>
      </c>
      <c r="H298" s="13" t="b">
        <v>0</v>
      </c>
      <c r="I298" s="13" t="b">
        <v>0</v>
      </c>
      <c r="J298" s="13" t="b">
        <v>0</v>
      </c>
      <c r="K298" s="76">
        <v>12</v>
      </c>
      <c r="L298" s="105">
        <f t="shared" si="4"/>
        <v>10</v>
      </c>
      <c r="M298" s="76">
        <v>2</v>
      </c>
    </row>
    <row r="299" spans="2:13" ht="24">
      <c r="B299" s="125">
        <v>46063</v>
      </c>
      <c r="C299" s="16" t="s">
        <v>85</v>
      </c>
      <c r="D299" s="31" t="s">
        <v>563</v>
      </c>
      <c r="E299" s="32" t="s">
        <v>564</v>
      </c>
      <c r="F299" s="13" t="b">
        <v>1</v>
      </c>
      <c r="G299" s="13" t="b">
        <v>0</v>
      </c>
      <c r="H299" s="13" t="b">
        <v>0</v>
      </c>
      <c r="I299" s="13" t="b">
        <v>0</v>
      </c>
      <c r="J299" s="13" t="b">
        <v>0</v>
      </c>
      <c r="K299" s="105">
        <v>19</v>
      </c>
      <c r="L299" s="105">
        <f t="shared" si="4"/>
        <v>16</v>
      </c>
      <c r="M299" s="105">
        <v>3</v>
      </c>
    </row>
    <row r="300" spans="2:13">
      <c r="B300" s="125">
        <v>46063</v>
      </c>
      <c r="C300" s="16" t="s">
        <v>63</v>
      </c>
      <c r="D300" s="31" t="s">
        <v>565</v>
      </c>
      <c r="E300" s="32" t="s">
        <v>562</v>
      </c>
      <c r="F300" s="13" t="b">
        <v>1</v>
      </c>
      <c r="G300" s="13" t="b">
        <v>0</v>
      </c>
      <c r="H300" s="13" t="b">
        <v>0</v>
      </c>
      <c r="I300" s="13" t="b">
        <v>0</v>
      </c>
      <c r="J300" s="13" t="b">
        <v>0</v>
      </c>
      <c r="K300" s="76">
        <v>21</v>
      </c>
      <c r="L300" s="105">
        <f t="shared" si="4"/>
        <v>19</v>
      </c>
      <c r="M300" s="76">
        <v>2</v>
      </c>
    </row>
    <row r="301" spans="2:13">
      <c r="B301" s="125">
        <v>46070</v>
      </c>
      <c r="C301" s="16" t="s">
        <v>59</v>
      </c>
      <c r="D301" s="31" t="s">
        <v>566</v>
      </c>
      <c r="E301" s="32" t="s">
        <v>540</v>
      </c>
      <c r="F301" s="13" t="b">
        <v>1</v>
      </c>
      <c r="G301" s="13" t="b">
        <v>0</v>
      </c>
      <c r="H301" s="13" t="b">
        <v>0</v>
      </c>
      <c r="I301" s="13" t="b">
        <v>0</v>
      </c>
      <c r="J301" s="13" t="b">
        <v>0</v>
      </c>
      <c r="K301" s="105">
        <v>13</v>
      </c>
      <c r="L301" s="105">
        <f t="shared" si="4"/>
        <v>13</v>
      </c>
      <c r="M301" s="105"/>
    </row>
    <row r="302" spans="2:13">
      <c r="B302" s="125">
        <v>46070</v>
      </c>
      <c r="C302" s="16" t="s">
        <v>59</v>
      </c>
      <c r="D302" s="31" t="s">
        <v>567</v>
      </c>
      <c r="E302" s="32" t="s">
        <v>568</v>
      </c>
      <c r="F302" s="13" t="b">
        <v>1</v>
      </c>
      <c r="G302" s="13" t="b">
        <v>0</v>
      </c>
      <c r="H302" s="13" t="b">
        <v>0</v>
      </c>
      <c r="I302" s="13" t="b">
        <v>0</v>
      </c>
      <c r="J302" s="13" t="b">
        <v>0</v>
      </c>
      <c r="K302" s="76">
        <v>5</v>
      </c>
      <c r="L302" s="105">
        <f t="shared" si="4"/>
        <v>5</v>
      </c>
      <c r="M302" s="76"/>
    </row>
    <row r="303" spans="2:13" ht="24">
      <c r="B303" s="125">
        <v>46042</v>
      </c>
      <c r="C303" s="16" t="s">
        <v>66</v>
      </c>
      <c r="D303" s="31" t="s">
        <v>569</v>
      </c>
      <c r="E303" s="32" t="s">
        <v>570</v>
      </c>
      <c r="F303" s="13" t="b">
        <v>1</v>
      </c>
      <c r="G303" s="13" t="b">
        <v>0</v>
      </c>
      <c r="H303" s="13" t="b">
        <v>0</v>
      </c>
      <c r="I303" s="13" t="b">
        <v>0</v>
      </c>
      <c r="J303" s="13" t="b">
        <v>0</v>
      </c>
      <c r="K303" s="105">
        <v>31</v>
      </c>
      <c r="L303" s="105">
        <f t="shared" si="4"/>
        <v>25</v>
      </c>
      <c r="M303" s="105">
        <v>6</v>
      </c>
    </row>
    <row r="304" spans="2:13">
      <c r="B304" s="125">
        <v>46042</v>
      </c>
      <c r="C304" s="16" t="s">
        <v>56</v>
      </c>
      <c r="D304" s="31" t="s">
        <v>571</v>
      </c>
      <c r="E304" s="32" t="s">
        <v>246</v>
      </c>
      <c r="F304" s="13" t="b">
        <v>1</v>
      </c>
      <c r="G304" s="13" t="b">
        <v>0</v>
      </c>
      <c r="H304" s="13" t="b">
        <v>0</v>
      </c>
      <c r="I304" s="13" t="b">
        <v>0</v>
      </c>
      <c r="J304" s="13" t="b">
        <v>0</v>
      </c>
      <c r="K304" s="76">
        <v>17</v>
      </c>
      <c r="L304" s="105">
        <f t="shared" si="4"/>
        <v>14</v>
      </c>
      <c r="M304" s="76">
        <v>3</v>
      </c>
    </row>
    <row r="305" spans="2:13">
      <c r="B305" s="125">
        <v>46119</v>
      </c>
      <c r="C305" s="16" t="s">
        <v>85</v>
      </c>
      <c r="D305" s="31" t="s">
        <v>572</v>
      </c>
      <c r="E305" s="35" t="s">
        <v>573</v>
      </c>
      <c r="F305" s="13" t="b">
        <v>1</v>
      </c>
      <c r="G305" s="13" t="b">
        <v>0</v>
      </c>
      <c r="H305" s="13" t="b">
        <v>0</v>
      </c>
      <c r="I305" s="13" t="b">
        <v>0</v>
      </c>
      <c r="J305" s="13" t="b">
        <v>0</v>
      </c>
      <c r="K305" s="105">
        <v>15</v>
      </c>
      <c r="L305" s="105">
        <f t="shared" si="4"/>
        <v>15</v>
      </c>
      <c r="M305" s="105"/>
    </row>
    <row r="306" spans="2:13">
      <c r="B306" s="125">
        <v>46112</v>
      </c>
      <c r="C306" s="16" t="s">
        <v>62</v>
      </c>
      <c r="D306" s="31" t="s">
        <v>574</v>
      </c>
      <c r="E306" s="32" t="s">
        <v>575</v>
      </c>
      <c r="F306" s="13" t="b">
        <v>1</v>
      </c>
      <c r="G306" s="13" t="b">
        <v>0</v>
      </c>
      <c r="H306" s="13" t="b">
        <v>0</v>
      </c>
      <c r="I306" s="13" t="b">
        <v>0</v>
      </c>
      <c r="J306" s="13" t="b">
        <v>0</v>
      </c>
      <c r="K306" s="76">
        <v>15</v>
      </c>
      <c r="L306" s="105">
        <f t="shared" si="4"/>
        <v>15</v>
      </c>
      <c r="M306" s="76"/>
    </row>
    <row r="307" spans="2:13">
      <c r="B307" s="125"/>
      <c r="C307" s="16"/>
      <c r="D307" s="31" t="s">
        <v>576</v>
      </c>
      <c r="E307" s="32" t="s">
        <v>577</v>
      </c>
      <c r="F307" s="13" t="b">
        <v>0</v>
      </c>
      <c r="G307" s="13" t="b">
        <v>0</v>
      </c>
      <c r="H307" s="13" t="b">
        <v>0</v>
      </c>
      <c r="I307" s="13" t="b">
        <v>0</v>
      </c>
      <c r="J307" s="13" t="b">
        <v>0</v>
      </c>
      <c r="K307" s="105"/>
      <c r="L307" s="105">
        <f t="shared" si="4"/>
        <v>0</v>
      </c>
      <c r="M307" s="105"/>
    </row>
    <row r="308" spans="2:13">
      <c r="B308" s="125"/>
      <c r="C308" s="16"/>
      <c r="D308" s="31" t="s">
        <v>578</v>
      </c>
      <c r="E308" s="32" t="s">
        <v>579</v>
      </c>
      <c r="F308" s="13" t="b">
        <v>0</v>
      </c>
      <c r="G308" s="13" t="b">
        <v>0</v>
      </c>
      <c r="H308" s="13" t="b">
        <v>0</v>
      </c>
      <c r="I308" s="13" t="b">
        <v>0</v>
      </c>
      <c r="J308" s="13" t="b">
        <v>0</v>
      </c>
      <c r="K308" s="76"/>
      <c r="L308" s="105">
        <f t="shared" si="4"/>
        <v>0</v>
      </c>
      <c r="M308" s="76"/>
    </row>
    <row r="309" spans="2:13">
      <c r="B309" s="125"/>
      <c r="C309" s="16"/>
      <c r="D309" s="31" t="s">
        <v>580</v>
      </c>
      <c r="E309" s="32" t="s">
        <v>581</v>
      </c>
      <c r="F309" s="13" t="b">
        <v>0</v>
      </c>
      <c r="G309" s="13" t="b">
        <v>0</v>
      </c>
      <c r="H309" s="13" t="b">
        <v>0</v>
      </c>
      <c r="I309" s="13" t="b">
        <v>0</v>
      </c>
      <c r="J309" s="13" t="b">
        <v>0</v>
      </c>
      <c r="K309" s="105"/>
      <c r="L309" s="105">
        <f t="shared" si="4"/>
        <v>0</v>
      </c>
      <c r="M309" s="105"/>
    </row>
    <row r="310" spans="2:13" ht="24">
      <c r="B310" s="125">
        <v>46063</v>
      </c>
      <c r="C310" s="16" t="s">
        <v>72</v>
      </c>
      <c r="D310" s="31" t="s">
        <v>582</v>
      </c>
      <c r="E310" s="32" t="s">
        <v>583</v>
      </c>
      <c r="F310" s="13" t="b">
        <v>1</v>
      </c>
      <c r="G310" s="13" t="b">
        <v>0</v>
      </c>
      <c r="H310" s="13" t="b">
        <v>0</v>
      </c>
      <c r="I310" s="13" t="b">
        <v>0</v>
      </c>
      <c r="J310" s="13" t="b">
        <v>0</v>
      </c>
      <c r="K310" s="76">
        <v>42</v>
      </c>
      <c r="L310" s="105">
        <f t="shared" si="4"/>
        <v>30</v>
      </c>
      <c r="M310" s="76">
        <v>12</v>
      </c>
    </row>
    <row r="311" spans="2:13">
      <c r="B311" s="125"/>
      <c r="C311" s="16"/>
      <c r="D311" s="31" t="s">
        <v>584</v>
      </c>
      <c r="E311" s="32" t="s">
        <v>581</v>
      </c>
      <c r="F311" s="13" t="b">
        <v>0</v>
      </c>
      <c r="G311" s="13" t="b">
        <v>0</v>
      </c>
      <c r="H311" s="13" t="b">
        <v>0</v>
      </c>
      <c r="I311" s="13" t="b">
        <v>0</v>
      </c>
      <c r="J311" s="13" t="b">
        <v>0</v>
      </c>
      <c r="K311" s="105"/>
      <c r="L311" s="105">
        <f t="shared" si="4"/>
        <v>0</v>
      </c>
      <c r="M311" s="105"/>
    </row>
    <row r="312" spans="2:13">
      <c r="B312" s="125"/>
      <c r="C312" s="16"/>
      <c r="D312" s="31" t="s">
        <v>585</v>
      </c>
      <c r="E312" s="32" t="s">
        <v>272</v>
      </c>
      <c r="F312" s="13" t="b">
        <v>0</v>
      </c>
      <c r="G312" s="13" t="b">
        <v>0</v>
      </c>
      <c r="H312" s="13" t="b">
        <v>0</v>
      </c>
      <c r="I312" s="13" t="b">
        <v>0</v>
      </c>
      <c r="J312" s="13" t="b">
        <v>0</v>
      </c>
      <c r="K312" s="76"/>
      <c r="L312" s="105">
        <f t="shared" si="4"/>
        <v>0</v>
      </c>
      <c r="M312" s="76"/>
    </row>
    <row r="313" spans="2:13" ht="24">
      <c r="B313" s="125">
        <v>46112</v>
      </c>
      <c r="C313" s="16" t="s">
        <v>62</v>
      </c>
      <c r="D313" s="31" t="s">
        <v>586</v>
      </c>
      <c r="E313" s="32" t="s">
        <v>587</v>
      </c>
      <c r="F313" s="13" t="b">
        <v>1</v>
      </c>
      <c r="G313" s="13" t="b">
        <v>0</v>
      </c>
      <c r="H313" s="13" t="b">
        <v>0</v>
      </c>
      <c r="I313" s="13" t="b">
        <v>0</v>
      </c>
      <c r="J313" s="13" t="b">
        <v>0</v>
      </c>
      <c r="K313" s="105">
        <v>46</v>
      </c>
      <c r="L313" s="105">
        <f t="shared" si="4"/>
        <v>41</v>
      </c>
      <c r="M313" s="105">
        <v>5</v>
      </c>
    </row>
    <row r="314" spans="2:13">
      <c r="B314" s="125">
        <v>46070</v>
      </c>
      <c r="C314" s="16" t="s">
        <v>75</v>
      </c>
      <c r="D314" s="31" t="s">
        <v>588</v>
      </c>
      <c r="E314" s="32" t="s">
        <v>589</v>
      </c>
      <c r="F314" s="13" t="b">
        <v>1</v>
      </c>
      <c r="G314" s="13" t="b">
        <v>0</v>
      </c>
      <c r="H314" s="13" t="b">
        <v>0</v>
      </c>
      <c r="I314" s="13" t="b">
        <v>0</v>
      </c>
      <c r="J314" s="13" t="b">
        <v>0</v>
      </c>
      <c r="K314" s="76">
        <v>30</v>
      </c>
      <c r="L314" s="105">
        <f t="shared" si="4"/>
        <v>30</v>
      </c>
      <c r="M314" s="76"/>
    </row>
    <row r="315" spans="2:13" ht="36">
      <c r="B315" s="125">
        <v>46112</v>
      </c>
      <c r="C315" s="16" t="s">
        <v>69</v>
      </c>
      <c r="D315" s="108" t="s">
        <v>590</v>
      </c>
      <c r="E315" s="32" t="s">
        <v>591</v>
      </c>
      <c r="F315" s="13" t="b">
        <v>1</v>
      </c>
      <c r="G315" s="13" t="b">
        <v>0</v>
      </c>
      <c r="H315" s="13" t="b">
        <v>0</v>
      </c>
      <c r="I315" s="13" t="b">
        <v>0</v>
      </c>
      <c r="J315" s="13" t="b">
        <v>0</v>
      </c>
      <c r="K315" s="105">
        <v>8</v>
      </c>
      <c r="L315" s="105">
        <f t="shared" si="4"/>
        <v>5</v>
      </c>
      <c r="M315" s="105">
        <v>3</v>
      </c>
    </row>
    <row r="316" spans="2:13" ht="24">
      <c r="B316" s="125"/>
      <c r="C316" s="16"/>
      <c r="D316" s="31" t="s">
        <v>592</v>
      </c>
      <c r="E316" s="32" t="s">
        <v>593</v>
      </c>
      <c r="F316" s="13" t="b">
        <v>0</v>
      </c>
      <c r="G316" s="13" t="b">
        <v>0</v>
      </c>
      <c r="H316" s="13" t="b">
        <v>0</v>
      </c>
      <c r="I316" s="13" t="b">
        <v>0</v>
      </c>
      <c r="J316" s="13" t="b">
        <v>0</v>
      </c>
      <c r="K316" s="76"/>
      <c r="L316" s="105">
        <f t="shared" si="4"/>
        <v>0</v>
      </c>
      <c r="M316" s="76"/>
    </row>
    <row r="317" spans="2:13" ht="24">
      <c r="B317" s="125">
        <v>46070</v>
      </c>
      <c r="C317" s="16" t="s">
        <v>63</v>
      </c>
      <c r="D317" s="31" t="s">
        <v>594</v>
      </c>
      <c r="E317" s="32" t="s">
        <v>595</v>
      </c>
      <c r="F317" s="13" t="b">
        <v>1</v>
      </c>
      <c r="G317" s="13" t="b">
        <v>0</v>
      </c>
      <c r="H317" s="13" t="b">
        <v>0</v>
      </c>
      <c r="I317" s="13" t="b">
        <v>0</v>
      </c>
      <c r="J317" s="13" t="b">
        <v>0</v>
      </c>
      <c r="K317" s="105">
        <v>33</v>
      </c>
      <c r="L317" s="105">
        <f t="shared" si="4"/>
        <v>31</v>
      </c>
      <c r="M317" s="105">
        <v>2</v>
      </c>
    </row>
    <row r="318" spans="2:13">
      <c r="B318" s="125">
        <v>46070</v>
      </c>
      <c r="C318" s="16" t="s">
        <v>56</v>
      </c>
      <c r="D318" s="31" t="s">
        <v>596</v>
      </c>
      <c r="E318" s="32" t="s">
        <v>597</v>
      </c>
      <c r="F318" s="13" t="b">
        <v>1</v>
      </c>
      <c r="G318" s="13" t="b">
        <v>0</v>
      </c>
      <c r="H318" s="13" t="b">
        <v>0</v>
      </c>
      <c r="I318" s="13" t="b">
        <v>0</v>
      </c>
      <c r="J318" s="13" t="b">
        <v>0</v>
      </c>
      <c r="K318" s="76">
        <v>18</v>
      </c>
      <c r="L318" s="105">
        <f t="shared" si="4"/>
        <v>18</v>
      </c>
      <c r="M318" s="76"/>
    </row>
    <row r="319" spans="2:13">
      <c r="B319" s="125">
        <v>46070</v>
      </c>
      <c r="C319" s="16" t="s">
        <v>75</v>
      </c>
      <c r="D319" s="31" t="s">
        <v>598</v>
      </c>
      <c r="E319" s="32" t="s">
        <v>599</v>
      </c>
      <c r="F319" s="13" t="b">
        <v>1</v>
      </c>
      <c r="G319" s="13" t="b">
        <v>0</v>
      </c>
      <c r="H319" s="13" t="b">
        <v>0</v>
      </c>
      <c r="I319" s="13" t="b">
        <v>0</v>
      </c>
      <c r="J319" s="13" t="b">
        <v>0</v>
      </c>
      <c r="K319" s="105">
        <v>20</v>
      </c>
      <c r="L319" s="105">
        <f t="shared" si="4"/>
        <v>12</v>
      </c>
      <c r="M319" s="105">
        <v>8</v>
      </c>
    </row>
    <row r="320" spans="2:13">
      <c r="B320" s="125"/>
      <c r="C320" s="16"/>
      <c r="D320" s="31" t="s">
        <v>600</v>
      </c>
      <c r="E320" s="32" t="s">
        <v>601</v>
      </c>
      <c r="F320" s="13" t="b">
        <v>0</v>
      </c>
      <c r="G320" s="13" t="b">
        <v>0</v>
      </c>
      <c r="H320" s="13" t="b">
        <v>0</v>
      </c>
      <c r="I320" s="13" t="b">
        <v>0</v>
      </c>
      <c r="J320" s="13" t="b">
        <v>0</v>
      </c>
      <c r="K320" s="76"/>
      <c r="L320" s="105">
        <f t="shared" si="4"/>
        <v>0</v>
      </c>
      <c r="M320" s="76"/>
    </row>
    <row r="321" spans="2:13">
      <c r="B321" s="125"/>
      <c r="C321" s="16"/>
      <c r="D321" s="31" t="s">
        <v>602</v>
      </c>
      <c r="E321" s="32" t="s">
        <v>408</v>
      </c>
      <c r="F321" s="13" t="b">
        <v>0</v>
      </c>
      <c r="G321" s="13" t="b">
        <v>0</v>
      </c>
      <c r="H321" s="13" t="b">
        <v>0</v>
      </c>
      <c r="I321" s="13" t="b">
        <v>0</v>
      </c>
      <c r="J321" s="13" t="b">
        <v>0</v>
      </c>
      <c r="K321" s="105"/>
      <c r="L321" s="105">
        <f t="shared" si="4"/>
        <v>0</v>
      </c>
      <c r="M321" s="105"/>
    </row>
    <row r="322" spans="2:13">
      <c r="B322" s="125"/>
      <c r="C322" s="16"/>
      <c r="D322" s="31" t="s">
        <v>603</v>
      </c>
      <c r="E322" s="32" t="s">
        <v>577</v>
      </c>
      <c r="F322" s="13" t="b">
        <v>0</v>
      </c>
      <c r="G322" s="13" t="b">
        <v>0</v>
      </c>
      <c r="H322" s="13" t="b">
        <v>0</v>
      </c>
      <c r="I322" s="13" t="b">
        <v>0</v>
      </c>
      <c r="J322" s="13" t="b">
        <v>0</v>
      </c>
      <c r="K322" s="76"/>
      <c r="L322" s="105">
        <f t="shared" si="4"/>
        <v>0</v>
      </c>
      <c r="M322" s="76"/>
    </row>
    <row r="323" spans="2:13">
      <c r="B323" s="125"/>
      <c r="C323" s="16"/>
      <c r="D323" s="31" t="s">
        <v>604</v>
      </c>
      <c r="E323" s="32" t="s">
        <v>579</v>
      </c>
      <c r="F323" s="13" t="b">
        <v>0</v>
      </c>
      <c r="G323" s="13" t="b">
        <v>0</v>
      </c>
      <c r="H323" s="13" t="b">
        <v>0</v>
      </c>
      <c r="I323" s="13" t="b">
        <v>0</v>
      </c>
      <c r="J323" s="13" t="b">
        <v>0</v>
      </c>
      <c r="K323" s="105"/>
      <c r="L323" s="105">
        <f t="shared" si="4"/>
        <v>0</v>
      </c>
      <c r="M323" s="105"/>
    </row>
    <row r="324" spans="2:13">
      <c r="B324" s="125"/>
      <c r="C324" s="16"/>
      <c r="D324" s="31" t="s">
        <v>605</v>
      </c>
      <c r="E324" s="32" t="s">
        <v>425</v>
      </c>
      <c r="F324" s="13" t="b">
        <v>0</v>
      </c>
      <c r="G324" s="13" t="b">
        <v>0</v>
      </c>
      <c r="H324" s="13" t="b">
        <v>0</v>
      </c>
      <c r="I324" s="13" t="b">
        <v>0</v>
      </c>
      <c r="J324" s="13" t="b">
        <v>0</v>
      </c>
      <c r="K324" s="76"/>
      <c r="L324" s="105">
        <f t="shared" si="4"/>
        <v>0</v>
      </c>
      <c r="M324" s="76"/>
    </row>
    <row r="325" spans="2:13">
      <c r="B325" s="125"/>
      <c r="C325" s="16"/>
      <c r="D325" s="31" t="s">
        <v>606</v>
      </c>
      <c r="E325" s="32" t="s">
        <v>607</v>
      </c>
      <c r="F325" s="13" t="b">
        <v>0</v>
      </c>
      <c r="G325" s="13" t="b">
        <v>0</v>
      </c>
      <c r="H325" s="13" t="b">
        <v>0</v>
      </c>
      <c r="I325" s="13" t="b">
        <v>0</v>
      </c>
      <c r="J325" s="13" t="b">
        <v>0</v>
      </c>
      <c r="K325" s="105"/>
      <c r="L325" s="105">
        <f t="shared" si="4"/>
        <v>0</v>
      </c>
      <c r="M325" s="105"/>
    </row>
    <row r="326" spans="2:13">
      <c r="B326" s="125"/>
      <c r="C326" s="16"/>
      <c r="D326" s="31" t="s">
        <v>608</v>
      </c>
      <c r="E326" s="32" t="s">
        <v>388</v>
      </c>
      <c r="F326" s="13" t="b">
        <v>0</v>
      </c>
      <c r="G326" s="13" t="b">
        <v>0</v>
      </c>
      <c r="H326" s="13" t="b">
        <v>0</v>
      </c>
      <c r="I326" s="13" t="b">
        <v>0</v>
      </c>
      <c r="J326" s="13" t="b">
        <v>0</v>
      </c>
      <c r="K326" s="76"/>
      <c r="L326" s="105">
        <f t="shared" si="4"/>
        <v>0</v>
      </c>
      <c r="M326" s="76"/>
    </row>
    <row r="327" spans="2:13">
      <c r="B327" s="125"/>
      <c r="C327" s="16"/>
      <c r="D327" s="31" t="s">
        <v>609</v>
      </c>
      <c r="E327" s="32" t="s">
        <v>240</v>
      </c>
      <c r="F327" s="13" t="b">
        <v>0</v>
      </c>
      <c r="G327" s="13" t="b">
        <v>0</v>
      </c>
      <c r="H327" s="13" t="b">
        <v>0</v>
      </c>
      <c r="I327" s="13" t="b">
        <v>0</v>
      </c>
      <c r="J327" s="13" t="b">
        <v>0</v>
      </c>
      <c r="K327" s="105"/>
      <c r="L327" s="105">
        <f t="shared" ref="L327:L390" si="5">K327-M327</f>
        <v>0</v>
      </c>
      <c r="M327" s="105"/>
    </row>
    <row r="328" spans="2:13">
      <c r="B328" s="125"/>
      <c r="C328" s="16"/>
      <c r="D328" s="31" t="s">
        <v>610</v>
      </c>
      <c r="E328" s="32" t="s">
        <v>248</v>
      </c>
      <c r="F328" s="13" t="b">
        <v>0</v>
      </c>
      <c r="G328" s="13" t="b">
        <v>0</v>
      </c>
      <c r="H328" s="13" t="b">
        <v>0</v>
      </c>
      <c r="I328" s="13" t="b">
        <v>0</v>
      </c>
      <c r="J328" s="13" t="b">
        <v>0</v>
      </c>
      <c r="K328" s="76"/>
      <c r="L328" s="105">
        <f t="shared" si="5"/>
        <v>0</v>
      </c>
      <c r="M328" s="76"/>
    </row>
    <row r="329" spans="2:13">
      <c r="B329" s="125"/>
      <c r="C329" s="16"/>
      <c r="D329" s="31" t="s">
        <v>611</v>
      </c>
      <c r="E329" s="32" t="s">
        <v>246</v>
      </c>
      <c r="F329" s="13" t="b">
        <v>0</v>
      </c>
      <c r="G329" s="13" t="b">
        <v>0</v>
      </c>
      <c r="H329" s="13" t="b">
        <v>0</v>
      </c>
      <c r="I329" s="13" t="b">
        <v>0</v>
      </c>
      <c r="J329" s="13" t="b">
        <v>0</v>
      </c>
      <c r="K329" s="105"/>
      <c r="L329" s="105">
        <f t="shared" si="5"/>
        <v>0</v>
      </c>
      <c r="M329" s="105"/>
    </row>
    <row r="330" spans="2:13">
      <c r="B330" s="125"/>
      <c r="C330" s="16"/>
      <c r="D330" s="31" t="s">
        <v>612</v>
      </c>
      <c r="E330" s="32" t="s">
        <v>236</v>
      </c>
      <c r="F330" s="13" t="b">
        <v>0</v>
      </c>
      <c r="G330" s="13" t="b">
        <v>0</v>
      </c>
      <c r="H330" s="13" t="b">
        <v>0</v>
      </c>
      <c r="I330" s="13" t="b">
        <v>0</v>
      </c>
      <c r="J330" s="13" t="b">
        <v>0</v>
      </c>
      <c r="K330" s="76"/>
      <c r="L330" s="105">
        <f t="shared" si="5"/>
        <v>0</v>
      </c>
      <c r="M330" s="76"/>
    </row>
    <row r="331" spans="2:13">
      <c r="B331" s="125"/>
      <c r="C331" s="16"/>
      <c r="D331" s="31" t="s">
        <v>613</v>
      </c>
      <c r="E331" s="32" t="s">
        <v>238</v>
      </c>
      <c r="F331" s="13" t="b">
        <v>0</v>
      </c>
      <c r="G331" s="13" t="b">
        <v>0</v>
      </c>
      <c r="H331" s="13" t="b">
        <v>0</v>
      </c>
      <c r="I331" s="13" t="b">
        <v>0</v>
      </c>
      <c r="J331" s="13" t="b">
        <v>0</v>
      </c>
      <c r="K331" s="105"/>
      <c r="L331" s="105">
        <f t="shared" si="5"/>
        <v>0</v>
      </c>
      <c r="M331" s="105"/>
    </row>
    <row r="332" spans="2:13">
      <c r="B332" s="125"/>
      <c r="C332" s="16"/>
      <c r="D332" s="31" t="s">
        <v>614</v>
      </c>
      <c r="E332" s="32" t="s">
        <v>246</v>
      </c>
      <c r="F332" s="13" t="b">
        <v>0</v>
      </c>
      <c r="G332" s="13" t="b">
        <v>0</v>
      </c>
      <c r="H332" s="13" t="b">
        <v>0</v>
      </c>
      <c r="I332" s="13" t="b">
        <v>0</v>
      </c>
      <c r="J332" s="13" t="b">
        <v>0</v>
      </c>
      <c r="K332" s="76"/>
      <c r="L332" s="105">
        <f t="shared" si="5"/>
        <v>0</v>
      </c>
      <c r="M332" s="76"/>
    </row>
    <row r="333" spans="2:13">
      <c r="B333" s="125"/>
      <c r="C333" s="16"/>
      <c r="D333" s="31" t="s">
        <v>615</v>
      </c>
      <c r="E333" s="32" t="s">
        <v>248</v>
      </c>
      <c r="F333" s="13" t="b">
        <v>0</v>
      </c>
      <c r="G333" s="13" t="b">
        <v>0</v>
      </c>
      <c r="H333" s="13" t="b">
        <v>0</v>
      </c>
      <c r="I333" s="13" t="b">
        <v>0</v>
      </c>
      <c r="J333" s="13" t="b">
        <v>0</v>
      </c>
      <c r="K333" s="105"/>
      <c r="L333" s="105">
        <f t="shared" si="5"/>
        <v>0</v>
      </c>
      <c r="M333" s="105"/>
    </row>
    <row r="334" spans="2:13">
      <c r="B334" s="125"/>
      <c r="C334" s="16"/>
      <c r="D334" s="31" t="s">
        <v>616</v>
      </c>
      <c r="E334" s="32" t="s">
        <v>231</v>
      </c>
      <c r="F334" s="13" t="b">
        <v>0</v>
      </c>
      <c r="G334" s="13" t="b">
        <v>0</v>
      </c>
      <c r="H334" s="13" t="b">
        <v>0</v>
      </c>
      <c r="I334" s="13" t="b">
        <v>0</v>
      </c>
      <c r="J334" s="13" t="b">
        <v>0</v>
      </c>
      <c r="K334" s="76"/>
      <c r="L334" s="105">
        <f t="shared" si="5"/>
        <v>0</v>
      </c>
      <c r="M334" s="76"/>
    </row>
    <row r="335" spans="2:13">
      <c r="B335" s="125"/>
      <c r="C335" s="16"/>
      <c r="D335" s="31" t="s">
        <v>617</v>
      </c>
      <c r="E335" s="32" t="s">
        <v>618</v>
      </c>
      <c r="F335" s="13" t="b">
        <v>0</v>
      </c>
      <c r="G335" s="13" t="b">
        <v>0</v>
      </c>
      <c r="H335" s="13" t="b">
        <v>0</v>
      </c>
      <c r="I335" s="13" t="b">
        <v>0</v>
      </c>
      <c r="J335" s="13" t="b">
        <v>0</v>
      </c>
      <c r="K335" s="105"/>
      <c r="L335" s="105">
        <f t="shared" si="5"/>
        <v>0</v>
      </c>
      <c r="M335" s="105"/>
    </row>
    <row r="336" spans="2:13">
      <c r="B336" s="125"/>
      <c r="C336" s="16"/>
      <c r="D336" s="31" t="s">
        <v>619</v>
      </c>
      <c r="E336" s="32" t="s">
        <v>242</v>
      </c>
      <c r="F336" s="13" t="b">
        <v>0</v>
      </c>
      <c r="G336" s="13" t="b">
        <v>0</v>
      </c>
      <c r="H336" s="13" t="b">
        <v>0</v>
      </c>
      <c r="I336" s="13" t="b">
        <v>0</v>
      </c>
      <c r="J336" s="13" t="b">
        <v>0</v>
      </c>
      <c r="K336" s="76"/>
      <c r="L336" s="105">
        <f t="shared" si="5"/>
        <v>0</v>
      </c>
      <c r="M336" s="76"/>
    </row>
    <row r="337" spans="2:13" ht="24">
      <c r="B337" s="125"/>
      <c r="C337" s="16"/>
      <c r="D337" s="31" t="s">
        <v>620</v>
      </c>
      <c r="E337" s="32" t="s">
        <v>360</v>
      </c>
      <c r="F337" s="13" t="b">
        <v>0</v>
      </c>
      <c r="G337" s="13" t="b">
        <v>0</v>
      </c>
      <c r="H337" s="13" t="b">
        <v>0</v>
      </c>
      <c r="I337" s="13" t="b">
        <v>0</v>
      </c>
      <c r="J337" s="13" t="b">
        <v>0</v>
      </c>
      <c r="K337" s="105"/>
      <c r="L337" s="105">
        <f t="shared" si="5"/>
        <v>0</v>
      </c>
      <c r="M337" s="105"/>
    </row>
    <row r="338" spans="2:13" ht="24">
      <c r="B338" s="125"/>
      <c r="C338" s="16"/>
      <c r="D338" s="31" t="s">
        <v>621</v>
      </c>
      <c r="E338" s="32" t="s">
        <v>360</v>
      </c>
      <c r="F338" s="13" t="b">
        <v>0</v>
      </c>
      <c r="G338" s="13" t="b">
        <v>0</v>
      </c>
      <c r="H338" s="13" t="b">
        <v>0</v>
      </c>
      <c r="I338" s="13" t="b">
        <v>0</v>
      </c>
      <c r="J338" s="13" t="b">
        <v>0</v>
      </c>
      <c r="K338" s="76"/>
      <c r="L338" s="105">
        <f t="shared" si="5"/>
        <v>0</v>
      </c>
      <c r="M338" s="76"/>
    </row>
    <row r="339" spans="2:13">
      <c r="B339" s="125"/>
      <c r="C339" s="16"/>
      <c r="D339" s="31" t="s">
        <v>622</v>
      </c>
      <c r="E339" s="32" t="s">
        <v>623</v>
      </c>
      <c r="F339" s="13" t="b">
        <v>0</v>
      </c>
      <c r="G339" s="13" t="b">
        <v>0</v>
      </c>
      <c r="H339" s="13" t="b">
        <v>0</v>
      </c>
      <c r="I339" s="13" t="b">
        <v>0</v>
      </c>
      <c r="J339" s="13" t="b">
        <v>0</v>
      </c>
      <c r="K339" s="105"/>
      <c r="L339" s="105">
        <f t="shared" si="5"/>
        <v>0</v>
      </c>
      <c r="M339" s="105"/>
    </row>
    <row r="340" spans="2:13">
      <c r="B340" s="125"/>
      <c r="C340" s="16"/>
      <c r="D340" s="31" t="s">
        <v>624</v>
      </c>
      <c r="E340" s="32" t="s">
        <v>246</v>
      </c>
      <c r="F340" s="13" t="b">
        <v>0</v>
      </c>
      <c r="G340" s="13" t="b">
        <v>0</v>
      </c>
      <c r="H340" s="13" t="b">
        <v>0</v>
      </c>
      <c r="I340" s="13" t="b">
        <v>0</v>
      </c>
      <c r="J340" s="13" t="b">
        <v>0</v>
      </c>
      <c r="K340" s="76"/>
      <c r="L340" s="105">
        <f t="shared" si="5"/>
        <v>0</v>
      </c>
      <c r="M340" s="76"/>
    </row>
    <row r="341" spans="2:13">
      <c r="B341" s="125"/>
      <c r="C341" s="16"/>
      <c r="D341" s="31" t="s">
        <v>625</v>
      </c>
      <c r="E341" s="32" t="s">
        <v>248</v>
      </c>
      <c r="F341" s="13" t="b">
        <v>0</v>
      </c>
      <c r="G341" s="13" t="b">
        <v>0</v>
      </c>
      <c r="H341" s="13" t="b">
        <v>0</v>
      </c>
      <c r="I341" s="13" t="b">
        <v>0</v>
      </c>
      <c r="J341" s="13" t="b">
        <v>0</v>
      </c>
      <c r="K341" s="105"/>
      <c r="L341" s="105">
        <f t="shared" si="5"/>
        <v>0</v>
      </c>
      <c r="M341" s="105"/>
    </row>
    <row r="342" spans="2:13" ht="24">
      <c r="B342" s="125"/>
      <c r="C342" s="16"/>
      <c r="D342" s="31" t="s">
        <v>626</v>
      </c>
      <c r="E342" s="32" t="s">
        <v>627</v>
      </c>
      <c r="F342" s="13" t="b">
        <v>0</v>
      </c>
      <c r="G342" s="13" t="b">
        <v>0</v>
      </c>
      <c r="H342" s="13" t="b">
        <v>0</v>
      </c>
      <c r="I342" s="13" t="b">
        <v>0</v>
      </c>
      <c r="J342" s="13" t="b">
        <v>0</v>
      </c>
      <c r="K342" s="76"/>
      <c r="L342" s="105">
        <f t="shared" si="5"/>
        <v>0</v>
      </c>
      <c r="M342" s="76"/>
    </row>
    <row r="343" spans="2:13">
      <c r="B343" s="125"/>
      <c r="C343" s="16"/>
      <c r="D343" s="31" t="s">
        <v>628</v>
      </c>
      <c r="E343" s="32" t="s">
        <v>231</v>
      </c>
      <c r="F343" s="13" t="b">
        <v>0</v>
      </c>
      <c r="G343" s="13" t="b">
        <v>0</v>
      </c>
      <c r="H343" s="13" t="b">
        <v>0</v>
      </c>
      <c r="I343" s="13" t="b">
        <v>0</v>
      </c>
      <c r="J343" s="13" t="b">
        <v>0</v>
      </c>
      <c r="K343" s="105"/>
      <c r="L343" s="105">
        <f t="shared" si="5"/>
        <v>0</v>
      </c>
      <c r="M343" s="105"/>
    </row>
    <row r="344" spans="2:13">
      <c r="B344" s="125"/>
      <c r="C344" s="16"/>
      <c r="D344" s="31" t="s">
        <v>629</v>
      </c>
      <c r="E344" s="32" t="s">
        <v>623</v>
      </c>
      <c r="F344" s="13" t="b">
        <v>0</v>
      </c>
      <c r="G344" s="13" t="b">
        <v>0</v>
      </c>
      <c r="H344" s="13" t="b">
        <v>0</v>
      </c>
      <c r="I344" s="13" t="b">
        <v>0</v>
      </c>
      <c r="J344" s="13" t="b">
        <v>0</v>
      </c>
      <c r="K344" s="76"/>
      <c r="L344" s="105">
        <f t="shared" si="5"/>
        <v>0</v>
      </c>
      <c r="M344" s="76"/>
    </row>
    <row r="345" spans="2:13" ht="24">
      <c r="B345" s="125"/>
      <c r="C345" s="16"/>
      <c r="D345" s="31" t="s">
        <v>630</v>
      </c>
      <c r="E345" s="32" t="s">
        <v>360</v>
      </c>
      <c r="F345" s="13" t="b">
        <v>0</v>
      </c>
      <c r="G345" s="13" t="b">
        <v>0</v>
      </c>
      <c r="H345" s="13" t="b">
        <v>0</v>
      </c>
      <c r="I345" s="13" t="b">
        <v>0</v>
      </c>
      <c r="J345" s="13" t="b">
        <v>0</v>
      </c>
      <c r="K345" s="105"/>
      <c r="L345" s="105">
        <f t="shared" si="5"/>
        <v>0</v>
      </c>
      <c r="M345" s="105"/>
    </row>
    <row r="346" spans="2:13" ht="24">
      <c r="B346" s="125"/>
      <c r="C346" s="16"/>
      <c r="D346" s="31" t="s">
        <v>631</v>
      </c>
      <c r="E346" s="32" t="s">
        <v>360</v>
      </c>
      <c r="F346" s="13" t="b">
        <v>0</v>
      </c>
      <c r="G346" s="13" t="b">
        <v>0</v>
      </c>
      <c r="H346" s="13" t="b">
        <v>0</v>
      </c>
      <c r="I346" s="13" t="b">
        <v>0</v>
      </c>
      <c r="J346" s="13" t="b">
        <v>0</v>
      </c>
      <c r="K346" s="76"/>
      <c r="L346" s="105">
        <f t="shared" si="5"/>
        <v>0</v>
      </c>
      <c r="M346" s="76"/>
    </row>
    <row r="347" spans="2:13">
      <c r="B347" s="125"/>
      <c r="C347" s="16"/>
      <c r="D347" s="31" t="s">
        <v>632</v>
      </c>
      <c r="E347" s="32" t="s">
        <v>242</v>
      </c>
      <c r="F347" s="13" t="b">
        <v>0</v>
      </c>
      <c r="G347" s="13" t="b">
        <v>0</v>
      </c>
      <c r="H347" s="13" t="b">
        <v>0</v>
      </c>
      <c r="I347" s="13" t="b">
        <v>0</v>
      </c>
      <c r="J347" s="13" t="b">
        <v>0</v>
      </c>
      <c r="K347" s="105"/>
      <c r="L347" s="105">
        <f t="shared" si="5"/>
        <v>0</v>
      </c>
      <c r="M347" s="105"/>
    </row>
    <row r="348" spans="2:13">
      <c r="B348" s="125"/>
      <c r="C348" s="16"/>
      <c r="D348" s="31" t="s">
        <v>633</v>
      </c>
      <c r="E348" s="32" t="s">
        <v>231</v>
      </c>
      <c r="F348" s="13" t="b">
        <v>0</v>
      </c>
      <c r="G348" s="13" t="b">
        <v>0</v>
      </c>
      <c r="H348" s="13" t="b">
        <v>0</v>
      </c>
      <c r="I348" s="13" t="b">
        <v>0</v>
      </c>
      <c r="J348" s="13" t="b">
        <v>0</v>
      </c>
      <c r="K348" s="76"/>
      <c r="L348" s="105">
        <f t="shared" si="5"/>
        <v>0</v>
      </c>
      <c r="M348" s="76"/>
    </row>
    <row r="349" spans="2:13">
      <c r="B349" s="125"/>
      <c r="C349" s="16"/>
      <c r="D349" s="31" t="s">
        <v>634</v>
      </c>
      <c r="E349" s="32" t="s">
        <v>399</v>
      </c>
      <c r="F349" s="13" t="b">
        <v>0</v>
      </c>
      <c r="G349" s="13" t="b">
        <v>0</v>
      </c>
      <c r="H349" s="13" t="b">
        <v>0</v>
      </c>
      <c r="I349" s="13" t="b">
        <v>0</v>
      </c>
      <c r="J349" s="13" t="b">
        <v>0</v>
      </c>
      <c r="K349" s="105"/>
      <c r="L349" s="105">
        <f t="shared" si="5"/>
        <v>0</v>
      </c>
      <c r="M349" s="105"/>
    </row>
    <row r="350" spans="2:13" ht="36">
      <c r="B350" s="125"/>
      <c r="C350" s="16"/>
      <c r="D350" s="31" t="s">
        <v>635</v>
      </c>
      <c r="E350" s="32" t="s">
        <v>636</v>
      </c>
      <c r="F350" s="13" t="b">
        <v>0</v>
      </c>
      <c r="G350" s="13" t="b">
        <v>0</v>
      </c>
      <c r="H350" s="13" t="b">
        <v>0</v>
      </c>
      <c r="I350" s="13" t="b">
        <v>0</v>
      </c>
      <c r="J350" s="13" t="b">
        <v>0</v>
      </c>
      <c r="K350" s="76"/>
      <c r="L350" s="105">
        <f t="shared" si="5"/>
        <v>0</v>
      </c>
      <c r="M350" s="76"/>
    </row>
    <row r="351" spans="2:13">
      <c r="B351" s="125"/>
      <c r="C351" s="16"/>
      <c r="D351" s="31" t="s">
        <v>637</v>
      </c>
      <c r="E351" s="32" t="s">
        <v>623</v>
      </c>
      <c r="F351" s="13" t="b">
        <v>0</v>
      </c>
      <c r="G351" s="13" t="b">
        <v>0</v>
      </c>
      <c r="H351" s="13" t="b">
        <v>0</v>
      </c>
      <c r="I351" s="13" t="b">
        <v>0</v>
      </c>
      <c r="J351" s="13" t="b">
        <v>0</v>
      </c>
      <c r="K351" s="105"/>
      <c r="L351" s="105">
        <f t="shared" si="5"/>
        <v>0</v>
      </c>
      <c r="M351" s="105"/>
    </row>
    <row r="352" spans="2:13">
      <c r="B352" s="125"/>
      <c r="C352" s="16"/>
      <c r="D352" s="31" t="s">
        <v>638</v>
      </c>
      <c r="E352" s="32" t="s">
        <v>399</v>
      </c>
      <c r="F352" s="13" t="b">
        <v>0</v>
      </c>
      <c r="G352" s="13" t="b">
        <v>0</v>
      </c>
      <c r="H352" s="13" t="b">
        <v>0</v>
      </c>
      <c r="I352" s="13" t="b">
        <v>0</v>
      </c>
      <c r="J352" s="13" t="b">
        <v>0</v>
      </c>
      <c r="K352" s="76"/>
      <c r="L352" s="105">
        <f t="shared" si="5"/>
        <v>0</v>
      </c>
      <c r="M352" s="76"/>
    </row>
    <row r="353" spans="2:13">
      <c r="B353" s="125"/>
      <c r="C353" s="16"/>
      <c r="D353" s="31" t="s">
        <v>639</v>
      </c>
      <c r="E353" s="32" t="s">
        <v>640</v>
      </c>
      <c r="F353" s="13" t="b">
        <v>0</v>
      </c>
      <c r="G353" s="13" t="b">
        <v>0</v>
      </c>
      <c r="H353" s="13" t="b">
        <v>0</v>
      </c>
      <c r="I353" s="13" t="b">
        <v>0</v>
      </c>
      <c r="J353" s="13" t="b">
        <v>0</v>
      </c>
      <c r="K353" s="105"/>
      <c r="L353" s="105">
        <f t="shared" si="5"/>
        <v>0</v>
      </c>
      <c r="M353" s="105"/>
    </row>
    <row r="354" spans="2:13" ht="24">
      <c r="B354" s="125"/>
      <c r="C354" s="16"/>
      <c r="D354" s="31" t="s">
        <v>641</v>
      </c>
      <c r="E354" s="32" t="s">
        <v>642</v>
      </c>
      <c r="F354" s="13" t="b">
        <v>0</v>
      </c>
      <c r="G354" s="13" t="b">
        <v>0</v>
      </c>
      <c r="H354" s="13" t="b">
        <v>0</v>
      </c>
      <c r="I354" s="13" t="b">
        <v>0</v>
      </c>
      <c r="J354" s="13" t="b">
        <v>0</v>
      </c>
      <c r="K354" s="76"/>
      <c r="L354" s="105">
        <f t="shared" si="5"/>
        <v>0</v>
      </c>
      <c r="M354" s="76"/>
    </row>
    <row r="355" spans="2:13">
      <c r="B355" s="125"/>
      <c r="C355" s="16"/>
      <c r="D355" s="31" t="s">
        <v>643</v>
      </c>
      <c r="E355" s="32" t="s">
        <v>644</v>
      </c>
      <c r="F355" s="13" t="b">
        <v>0</v>
      </c>
      <c r="G355" s="13" t="b">
        <v>0</v>
      </c>
      <c r="H355" s="13" t="b">
        <v>0</v>
      </c>
      <c r="I355" s="13" t="b">
        <v>0</v>
      </c>
      <c r="J355" s="13" t="b">
        <v>0</v>
      </c>
      <c r="K355" s="105"/>
      <c r="L355" s="105">
        <f t="shared" si="5"/>
        <v>0</v>
      </c>
      <c r="M355" s="105"/>
    </row>
    <row r="356" spans="2:13">
      <c r="B356" s="125"/>
      <c r="C356" s="16"/>
      <c r="D356" s="31" t="s">
        <v>645</v>
      </c>
      <c r="E356" s="32" t="s">
        <v>71</v>
      </c>
      <c r="F356" s="13" t="b">
        <v>0</v>
      </c>
      <c r="G356" s="13" t="b">
        <v>0</v>
      </c>
      <c r="H356" s="13" t="b">
        <v>0</v>
      </c>
      <c r="I356" s="13" t="b">
        <v>0</v>
      </c>
      <c r="J356" s="13" t="b">
        <v>0</v>
      </c>
      <c r="K356" s="76"/>
      <c r="L356" s="105">
        <f t="shared" si="5"/>
        <v>0</v>
      </c>
      <c r="M356" s="76"/>
    </row>
    <row r="357" spans="2:13">
      <c r="B357" s="125"/>
      <c r="C357" s="16"/>
      <c r="D357" s="31" t="s">
        <v>646</v>
      </c>
      <c r="E357" s="32" t="s">
        <v>618</v>
      </c>
      <c r="F357" s="13" t="b">
        <v>0</v>
      </c>
      <c r="G357" s="13" t="b">
        <v>0</v>
      </c>
      <c r="H357" s="13" t="b">
        <v>0</v>
      </c>
      <c r="I357" s="13" t="b">
        <v>0</v>
      </c>
      <c r="J357" s="13" t="b">
        <v>0</v>
      </c>
      <c r="K357" s="105"/>
      <c r="L357" s="105">
        <f t="shared" si="5"/>
        <v>0</v>
      </c>
      <c r="M357" s="105"/>
    </row>
    <row r="358" spans="2:13">
      <c r="B358" s="125"/>
      <c r="C358" s="16"/>
      <c r="D358" s="31" t="s">
        <v>647</v>
      </c>
      <c r="E358" s="32" t="s">
        <v>640</v>
      </c>
      <c r="F358" s="13" t="b">
        <v>0</v>
      </c>
      <c r="G358" s="13" t="b">
        <v>0</v>
      </c>
      <c r="H358" s="13" t="b">
        <v>0</v>
      </c>
      <c r="I358" s="13" t="b">
        <v>0</v>
      </c>
      <c r="J358" s="13" t="b">
        <v>0</v>
      </c>
      <c r="K358" s="76"/>
      <c r="L358" s="105">
        <f t="shared" si="5"/>
        <v>0</v>
      </c>
      <c r="M358" s="76"/>
    </row>
    <row r="359" spans="2:13" ht="24">
      <c r="B359" s="125"/>
      <c r="C359" s="16"/>
      <c r="D359" s="31" t="s">
        <v>648</v>
      </c>
      <c r="E359" s="32" t="s">
        <v>642</v>
      </c>
      <c r="F359" s="13" t="b">
        <v>0</v>
      </c>
      <c r="G359" s="13" t="b">
        <v>0</v>
      </c>
      <c r="H359" s="13" t="b">
        <v>0</v>
      </c>
      <c r="I359" s="13" t="b">
        <v>0</v>
      </c>
      <c r="J359" s="13" t="b">
        <v>0</v>
      </c>
      <c r="K359" s="105"/>
      <c r="L359" s="105">
        <f t="shared" si="5"/>
        <v>0</v>
      </c>
      <c r="M359" s="105"/>
    </row>
    <row r="360" spans="2:13">
      <c r="B360" s="125"/>
      <c r="C360" s="16"/>
      <c r="D360" s="31" t="s">
        <v>649</v>
      </c>
      <c r="E360" s="32" t="s">
        <v>650</v>
      </c>
      <c r="F360" s="13" t="b">
        <v>0</v>
      </c>
      <c r="G360" s="13" t="b">
        <v>0</v>
      </c>
      <c r="H360" s="13" t="b">
        <v>0</v>
      </c>
      <c r="I360" s="13" t="b">
        <v>0</v>
      </c>
      <c r="J360" s="13" t="b">
        <v>0</v>
      </c>
      <c r="K360" s="76"/>
      <c r="L360" s="105">
        <f t="shared" si="5"/>
        <v>0</v>
      </c>
      <c r="M360" s="76"/>
    </row>
    <row r="361" spans="2:13" ht="24">
      <c r="B361" s="125"/>
      <c r="C361" s="16"/>
      <c r="D361" s="31" t="s">
        <v>651</v>
      </c>
      <c r="E361" s="32" t="s">
        <v>642</v>
      </c>
      <c r="F361" s="13" t="b">
        <v>0</v>
      </c>
      <c r="G361" s="13" t="b">
        <v>0</v>
      </c>
      <c r="H361" s="13" t="b">
        <v>0</v>
      </c>
      <c r="I361" s="13" t="b">
        <v>0</v>
      </c>
      <c r="J361" s="13" t="b">
        <v>0</v>
      </c>
      <c r="K361" s="105"/>
      <c r="L361" s="105">
        <f t="shared" si="5"/>
        <v>0</v>
      </c>
      <c r="M361" s="105"/>
    </row>
    <row r="362" spans="2:13">
      <c r="B362" s="125"/>
      <c r="C362" s="16"/>
      <c r="D362" s="31" t="s">
        <v>652</v>
      </c>
      <c r="E362" s="32" t="s">
        <v>640</v>
      </c>
      <c r="F362" s="13" t="b">
        <v>0</v>
      </c>
      <c r="G362" s="13" t="b">
        <v>0</v>
      </c>
      <c r="H362" s="13" t="b">
        <v>0</v>
      </c>
      <c r="I362" s="13" t="b">
        <v>0</v>
      </c>
      <c r="J362" s="13" t="b">
        <v>0</v>
      </c>
      <c r="K362" s="76"/>
      <c r="L362" s="105">
        <f t="shared" si="5"/>
        <v>0</v>
      </c>
      <c r="M362" s="76"/>
    </row>
    <row r="363" spans="2:13">
      <c r="B363" s="125"/>
      <c r="C363" s="16"/>
      <c r="D363" s="31" t="s">
        <v>653</v>
      </c>
      <c r="E363" s="32" t="s">
        <v>618</v>
      </c>
      <c r="F363" s="13" t="b">
        <v>0</v>
      </c>
      <c r="G363" s="13" t="b">
        <v>0</v>
      </c>
      <c r="H363" s="13" t="b">
        <v>0</v>
      </c>
      <c r="I363" s="13" t="b">
        <v>0</v>
      </c>
      <c r="J363" s="13" t="b">
        <v>0</v>
      </c>
      <c r="K363" s="105"/>
      <c r="L363" s="105">
        <f t="shared" si="5"/>
        <v>0</v>
      </c>
      <c r="M363" s="105"/>
    </row>
    <row r="364" spans="2:13" ht="24">
      <c r="B364" s="125"/>
      <c r="C364" s="16"/>
      <c r="D364" s="31" t="s">
        <v>654</v>
      </c>
      <c r="E364" s="32" t="s">
        <v>655</v>
      </c>
      <c r="F364" s="13" t="b">
        <v>0</v>
      </c>
      <c r="G364" s="13" t="b">
        <v>0</v>
      </c>
      <c r="H364" s="13" t="b">
        <v>0</v>
      </c>
      <c r="I364" s="13" t="b">
        <v>0</v>
      </c>
      <c r="J364" s="13" t="b">
        <v>0</v>
      </c>
      <c r="K364" s="76"/>
      <c r="L364" s="105">
        <f t="shared" si="5"/>
        <v>0</v>
      </c>
      <c r="M364" s="76"/>
    </row>
    <row r="365" spans="2:13">
      <c r="B365" s="125"/>
      <c r="C365" s="16"/>
      <c r="D365" s="31" t="s">
        <v>656</v>
      </c>
      <c r="E365" s="32" t="s">
        <v>601</v>
      </c>
      <c r="F365" s="13" t="b">
        <v>0</v>
      </c>
      <c r="G365" s="13" t="b">
        <v>0</v>
      </c>
      <c r="H365" s="13" t="b">
        <v>0</v>
      </c>
      <c r="I365" s="13" t="b">
        <v>0</v>
      </c>
      <c r="J365" s="13" t="b">
        <v>0</v>
      </c>
      <c r="K365" s="105"/>
      <c r="L365" s="105">
        <f t="shared" si="5"/>
        <v>0</v>
      </c>
      <c r="M365" s="105"/>
    </row>
    <row r="366" spans="2:13">
      <c r="B366" s="125"/>
      <c r="C366" s="16"/>
      <c r="D366" s="31" t="s">
        <v>657</v>
      </c>
      <c r="E366" s="32" t="s">
        <v>601</v>
      </c>
      <c r="F366" s="13" t="b">
        <v>0</v>
      </c>
      <c r="G366" s="13" t="b">
        <v>0</v>
      </c>
      <c r="H366" s="13" t="b">
        <v>0</v>
      </c>
      <c r="I366" s="13" t="b">
        <v>0</v>
      </c>
      <c r="J366" s="13" t="b">
        <v>0</v>
      </c>
      <c r="K366" s="76"/>
      <c r="L366" s="105">
        <f t="shared" si="5"/>
        <v>0</v>
      </c>
      <c r="M366" s="76"/>
    </row>
    <row r="367" spans="2:13">
      <c r="B367" s="125"/>
      <c r="C367" s="16"/>
      <c r="D367" s="31" t="s">
        <v>658</v>
      </c>
      <c r="E367" s="32" t="s">
        <v>601</v>
      </c>
      <c r="F367" s="13" t="b">
        <v>0</v>
      </c>
      <c r="G367" s="13" t="b">
        <v>0</v>
      </c>
      <c r="H367" s="13" t="b">
        <v>0</v>
      </c>
      <c r="I367" s="13" t="b">
        <v>0</v>
      </c>
      <c r="J367" s="13" t="b">
        <v>0</v>
      </c>
      <c r="K367" s="105"/>
      <c r="L367" s="105">
        <f t="shared" si="5"/>
        <v>0</v>
      </c>
      <c r="M367" s="105"/>
    </row>
    <row r="368" spans="2:13">
      <c r="B368" s="125">
        <v>46070</v>
      </c>
      <c r="C368" s="16" t="s">
        <v>91</v>
      </c>
      <c r="D368" s="110" t="s">
        <v>659</v>
      </c>
      <c r="E368" s="32" t="s">
        <v>272</v>
      </c>
      <c r="F368" s="13" t="b">
        <v>1</v>
      </c>
      <c r="G368" s="13" t="b">
        <v>0</v>
      </c>
      <c r="H368" s="13" t="b">
        <v>0</v>
      </c>
      <c r="I368" s="13" t="b">
        <v>0</v>
      </c>
      <c r="J368" s="13" t="b">
        <v>0</v>
      </c>
      <c r="K368" s="76">
        <v>3</v>
      </c>
      <c r="L368" s="105">
        <f t="shared" si="5"/>
        <v>3</v>
      </c>
      <c r="M368" s="76"/>
    </row>
    <row r="369" spans="2:13" ht="24">
      <c r="B369" s="125"/>
      <c r="C369" s="16"/>
      <c r="D369" s="31" t="s">
        <v>660</v>
      </c>
      <c r="E369" s="32" t="s">
        <v>661</v>
      </c>
      <c r="F369" s="13" t="b">
        <v>0</v>
      </c>
      <c r="G369" s="13" t="b">
        <v>0</v>
      </c>
      <c r="H369" s="13" t="b">
        <v>0</v>
      </c>
      <c r="I369" s="13" t="b">
        <v>0</v>
      </c>
      <c r="J369" s="13" t="b">
        <v>0</v>
      </c>
      <c r="K369" s="105"/>
      <c r="L369" s="105">
        <f t="shared" si="5"/>
        <v>0</v>
      </c>
      <c r="M369" s="105"/>
    </row>
    <row r="370" spans="2:13">
      <c r="B370" s="125">
        <v>46121</v>
      </c>
      <c r="C370" s="16" t="s">
        <v>75</v>
      </c>
      <c r="D370" s="31" t="s">
        <v>662</v>
      </c>
      <c r="E370" s="32" t="s">
        <v>242</v>
      </c>
      <c r="F370" s="13" t="b">
        <v>1</v>
      </c>
      <c r="G370" s="13" t="b">
        <v>0</v>
      </c>
      <c r="H370" s="13" t="b">
        <v>0</v>
      </c>
      <c r="I370" s="13" t="b">
        <v>0</v>
      </c>
      <c r="J370" s="13" t="b">
        <v>0</v>
      </c>
      <c r="K370" s="76">
        <v>42</v>
      </c>
      <c r="L370" s="105">
        <f t="shared" si="5"/>
        <v>42</v>
      </c>
      <c r="M370" s="76"/>
    </row>
    <row r="371" spans="2:13">
      <c r="B371" s="125">
        <v>46121</v>
      </c>
      <c r="C371" s="16" t="s">
        <v>62</v>
      </c>
      <c r="D371" s="31" t="s">
        <v>663</v>
      </c>
      <c r="E371" s="32" t="s">
        <v>242</v>
      </c>
      <c r="F371" s="13" t="b">
        <v>1</v>
      </c>
      <c r="G371" s="13" t="b">
        <v>0</v>
      </c>
      <c r="H371" s="13" t="b">
        <v>0</v>
      </c>
      <c r="I371" s="13" t="b">
        <v>0</v>
      </c>
      <c r="J371" s="13" t="b">
        <v>0</v>
      </c>
      <c r="K371" s="105">
        <v>29</v>
      </c>
      <c r="L371" s="105">
        <f t="shared" si="5"/>
        <v>27</v>
      </c>
      <c r="M371" s="105">
        <v>2</v>
      </c>
    </row>
    <row r="372" spans="2:13">
      <c r="B372" s="125"/>
      <c r="C372" s="16"/>
      <c r="D372" s="31" t="s">
        <v>664</v>
      </c>
      <c r="E372" s="32" t="s">
        <v>242</v>
      </c>
      <c r="F372" s="13" t="b">
        <v>0</v>
      </c>
      <c r="G372" s="13" t="b">
        <v>0</v>
      </c>
      <c r="H372" s="13" t="b">
        <v>0</v>
      </c>
      <c r="I372" s="13" t="b">
        <v>0</v>
      </c>
      <c r="J372" s="13" t="b">
        <v>0</v>
      </c>
      <c r="K372" s="76"/>
      <c r="L372" s="105">
        <f t="shared" si="5"/>
        <v>0</v>
      </c>
      <c r="M372" s="76"/>
    </row>
    <row r="373" spans="2:13" ht="24">
      <c r="B373" s="125"/>
      <c r="C373" s="16"/>
      <c r="D373" s="31" t="s">
        <v>665</v>
      </c>
      <c r="E373" s="32" t="s">
        <v>666</v>
      </c>
      <c r="F373" s="13" t="b">
        <v>0</v>
      </c>
      <c r="G373" s="13" t="b">
        <v>0</v>
      </c>
      <c r="H373" s="13" t="b">
        <v>0</v>
      </c>
      <c r="I373" s="13" t="b">
        <v>0</v>
      </c>
      <c r="J373" s="13" t="b">
        <v>0</v>
      </c>
      <c r="K373" s="105"/>
      <c r="L373" s="105">
        <f t="shared" si="5"/>
        <v>0</v>
      </c>
      <c r="M373" s="105"/>
    </row>
    <row r="374" spans="2:13">
      <c r="B374" s="125"/>
      <c r="C374" s="16"/>
      <c r="D374" s="31" t="s">
        <v>667</v>
      </c>
      <c r="E374" s="32" t="s">
        <v>242</v>
      </c>
      <c r="F374" s="13" t="b">
        <v>0</v>
      </c>
      <c r="G374" s="13" t="b">
        <v>0</v>
      </c>
      <c r="H374" s="13" t="b">
        <v>0</v>
      </c>
      <c r="I374" s="13" t="b">
        <v>0</v>
      </c>
      <c r="J374" s="13" t="b">
        <v>0</v>
      </c>
      <c r="K374" s="76"/>
      <c r="L374" s="105">
        <f t="shared" si="5"/>
        <v>0</v>
      </c>
      <c r="M374" s="76"/>
    </row>
    <row r="375" spans="2:13">
      <c r="B375" s="125">
        <v>46124</v>
      </c>
      <c r="C375" s="16" t="s">
        <v>226</v>
      </c>
      <c r="D375" s="30" t="s">
        <v>668</v>
      </c>
      <c r="E375" s="29" t="s">
        <v>58</v>
      </c>
      <c r="F375" s="13" t="b">
        <v>1</v>
      </c>
      <c r="G375" s="13" t="b">
        <v>0</v>
      </c>
      <c r="H375" s="13" t="b">
        <v>0</v>
      </c>
      <c r="I375" s="13" t="b">
        <v>0</v>
      </c>
      <c r="J375" s="13" t="b">
        <v>0</v>
      </c>
      <c r="K375" s="105">
        <v>6</v>
      </c>
      <c r="L375" s="105">
        <f t="shared" si="5"/>
        <v>6</v>
      </c>
      <c r="M375" s="105"/>
    </row>
    <row r="376" spans="2:13">
      <c r="B376" s="125"/>
      <c r="C376" s="16"/>
      <c r="D376" s="31" t="s">
        <v>669</v>
      </c>
      <c r="E376" s="32" t="s">
        <v>242</v>
      </c>
      <c r="F376" s="13" t="b">
        <v>0</v>
      </c>
      <c r="G376" s="13" t="b">
        <v>0</v>
      </c>
      <c r="H376" s="13" t="b">
        <v>0</v>
      </c>
      <c r="I376" s="13" t="b">
        <v>0</v>
      </c>
      <c r="J376" s="13" t="b">
        <v>0</v>
      </c>
      <c r="K376" s="76"/>
      <c r="L376" s="105">
        <f t="shared" si="5"/>
        <v>0</v>
      </c>
      <c r="M376" s="76"/>
    </row>
    <row r="377" spans="2:13">
      <c r="B377" s="125"/>
      <c r="C377" s="16"/>
      <c r="D377" s="31" t="s">
        <v>670</v>
      </c>
      <c r="E377" s="32" t="s">
        <v>242</v>
      </c>
      <c r="F377" s="13" t="b">
        <v>0</v>
      </c>
      <c r="G377" s="13" t="b">
        <v>0</v>
      </c>
      <c r="H377" s="13" t="b">
        <v>0</v>
      </c>
      <c r="I377" s="13" t="b">
        <v>0</v>
      </c>
      <c r="J377" s="13" t="b">
        <v>0</v>
      </c>
      <c r="K377" s="105"/>
      <c r="L377" s="105">
        <f t="shared" si="5"/>
        <v>0</v>
      </c>
      <c r="M377" s="105"/>
    </row>
    <row r="378" spans="2:13">
      <c r="B378" s="125">
        <v>46042</v>
      </c>
      <c r="C378" s="16" t="s">
        <v>85</v>
      </c>
      <c r="D378" s="31" t="s">
        <v>671</v>
      </c>
      <c r="E378" s="32" t="s">
        <v>242</v>
      </c>
      <c r="F378" s="13" t="b">
        <v>1</v>
      </c>
      <c r="G378" s="13" t="b">
        <v>0</v>
      </c>
      <c r="H378" s="13" t="b">
        <v>0</v>
      </c>
      <c r="I378" s="13" t="b">
        <v>0</v>
      </c>
      <c r="J378" s="13" t="b">
        <v>0</v>
      </c>
      <c r="K378" s="76">
        <v>22</v>
      </c>
      <c r="L378" s="105">
        <f t="shared" si="5"/>
        <v>19</v>
      </c>
      <c r="M378" s="76">
        <v>3</v>
      </c>
    </row>
    <row r="379" spans="2:13">
      <c r="B379" s="125"/>
      <c r="C379" s="16"/>
      <c r="D379" s="30" t="s">
        <v>672</v>
      </c>
      <c r="E379" s="29" t="s">
        <v>58</v>
      </c>
      <c r="F379" s="13" t="b">
        <v>0</v>
      </c>
      <c r="G379" s="13" t="b">
        <v>0</v>
      </c>
      <c r="H379" s="13" t="b">
        <v>0</v>
      </c>
      <c r="I379" s="13" t="b">
        <v>0</v>
      </c>
      <c r="J379" s="13" t="b">
        <v>0</v>
      </c>
      <c r="K379" s="105"/>
      <c r="L379" s="105">
        <f t="shared" si="5"/>
        <v>0</v>
      </c>
      <c r="M379" s="105"/>
    </row>
    <row r="380" spans="2:13">
      <c r="B380" s="125"/>
      <c r="C380" s="16"/>
      <c r="D380" s="31" t="s">
        <v>673</v>
      </c>
      <c r="E380" s="32" t="s">
        <v>623</v>
      </c>
      <c r="F380" s="13" t="b">
        <v>0</v>
      </c>
      <c r="G380" s="13" t="b">
        <v>0</v>
      </c>
      <c r="H380" s="13" t="b">
        <v>0</v>
      </c>
      <c r="I380" s="13" t="b">
        <v>0</v>
      </c>
      <c r="J380" s="13" t="b">
        <v>0</v>
      </c>
      <c r="K380" s="76"/>
      <c r="L380" s="105">
        <f t="shared" si="5"/>
        <v>0</v>
      </c>
      <c r="M380" s="76"/>
    </row>
    <row r="381" spans="2:13">
      <c r="B381" s="125"/>
      <c r="C381" s="16"/>
      <c r="D381" s="31" t="s">
        <v>674</v>
      </c>
      <c r="E381" s="32" t="s">
        <v>623</v>
      </c>
      <c r="F381" s="13" t="b">
        <v>0</v>
      </c>
      <c r="G381" s="13" t="b">
        <v>0</v>
      </c>
      <c r="H381" s="13" t="b">
        <v>0</v>
      </c>
      <c r="I381" s="13" t="b">
        <v>0</v>
      </c>
      <c r="J381" s="13" t="b">
        <v>0</v>
      </c>
      <c r="K381" s="105"/>
      <c r="L381" s="105">
        <f t="shared" si="5"/>
        <v>0</v>
      </c>
      <c r="M381" s="105"/>
    </row>
    <row r="382" spans="2:13">
      <c r="B382" s="125"/>
      <c r="C382" s="16"/>
      <c r="D382" s="111" t="s">
        <v>675</v>
      </c>
      <c r="E382" s="32" t="s">
        <v>676</v>
      </c>
      <c r="F382" s="13" t="b">
        <v>0</v>
      </c>
      <c r="G382" s="13" t="b">
        <v>0</v>
      </c>
      <c r="H382" s="13" t="b">
        <v>0</v>
      </c>
      <c r="I382" s="13" t="b">
        <v>0</v>
      </c>
      <c r="J382" s="13" t="b">
        <v>0</v>
      </c>
      <c r="K382" s="76"/>
      <c r="L382" s="105">
        <f t="shared" si="5"/>
        <v>0</v>
      </c>
      <c r="M382" s="76"/>
    </row>
    <row r="383" spans="2:13">
      <c r="B383" s="125"/>
      <c r="C383" s="16"/>
      <c r="D383" s="111" t="s">
        <v>677</v>
      </c>
      <c r="E383" s="32" t="s">
        <v>676</v>
      </c>
      <c r="F383" s="13" t="b">
        <v>0</v>
      </c>
      <c r="G383" s="13" t="b">
        <v>0</v>
      </c>
      <c r="H383" s="13" t="b">
        <v>0</v>
      </c>
      <c r="I383" s="13" t="b">
        <v>0</v>
      </c>
      <c r="J383" s="13" t="b">
        <v>0</v>
      </c>
      <c r="K383" s="105"/>
      <c r="L383" s="105">
        <f t="shared" si="5"/>
        <v>0</v>
      </c>
      <c r="M383" s="105"/>
    </row>
    <row r="384" spans="2:13">
      <c r="B384" s="125"/>
      <c r="C384" s="16"/>
      <c r="D384" s="31" t="s">
        <v>678</v>
      </c>
      <c r="E384" s="32" t="s">
        <v>679</v>
      </c>
      <c r="F384" s="13" t="b">
        <v>0</v>
      </c>
      <c r="G384" s="13" t="b">
        <v>0</v>
      </c>
      <c r="H384" s="13" t="b">
        <v>0</v>
      </c>
      <c r="I384" s="13" t="b">
        <v>0</v>
      </c>
      <c r="J384" s="13" t="b">
        <v>0</v>
      </c>
      <c r="K384" s="76"/>
      <c r="L384" s="105">
        <f t="shared" si="5"/>
        <v>0</v>
      </c>
      <c r="M384" s="76"/>
    </row>
    <row r="385" spans="2:13">
      <c r="B385" s="125">
        <v>46051</v>
      </c>
      <c r="C385" s="16" t="s">
        <v>59</v>
      </c>
      <c r="D385" s="31" t="s">
        <v>680</v>
      </c>
      <c r="E385" s="32" t="s">
        <v>248</v>
      </c>
      <c r="F385" s="13" t="b">
        <v>1</v>
      </c>
      <c r="G385" s="13" t="b">
        <v>0</v>
      </c>
      <c r="H385" s="13" t="b">
        <v>0</v>
      </c>
      <c r="I385" s="13" t="b">
        <v>0</v>
      </c>
      <c r="J385" s="13" t="b">
        <v>0</v>
      </c>
      <c r="K385" s="105">
        <v>29</v>
      </c>
      <c r="L385" s="105">
        <f t="shared" si="5"/>
        <v>28</v>
      </c>
      <c r="M385" s="105">
        <v>1</v>
      </c>
    </row>
    <row r="386" spans="2:13">
      <c r="B386" s="125"/>
      <c r="C386" s="16"/>
      <c r="D386" s="111" t="s">
        <v>681</v>
      </c>
      <c r="E386" s="32" t="s">
        <v>676</v>
      </c>
      <c r="F386" s="13" t="b">
        <v>0</v>
      </c>
      <c r="G386" s="13" t="b">
        <v>0</v>
      </c>
      <c r="H386" s="13" t="b">
        <v>0</v>
      </c>
      <c r="I386" s="13" t="b">
        <v>0</v>
      </c>
      <c r="J386" s="13" t="b">
        <v>0</v>
      </c>
      <c r="K386" s="76"/>
      <c r="L386" s="105">
        <f t="shared" si="5"/>
        <v>0</v>
      </c>
      <c r="M386" s="76"/>
    </row>
    <row r="387" spans="2:13">
      <c r="B387" s="125"/>
      <c r="C387" s="16"/>
      <c r="D387" s="111" t="s">
        <v>682</v>
      </c>
      <c r="E387" s="32" t="s">
        <v>676</v>
      </c>
      <c r="F387" s="13" t="b">
        <v>0</v>
      </c>
      <c r="G387" s="13" t="b">
        <v>0</v>
      </c>
      <c r="H387" s="13" t="b">
        <v>0</v>
      </c>
      <c r="I387" s="13" t="b">
        <v>0</v>
      </c>
      <c r="J387" s="13" t="b">
        <v>0</v>
      </c>
      <c r="K387" s="105"/>
      <c r="L387" s="105">
        <f t="shared" si="5"/>
        <v>0</v>
      </c>
      <c r="M387" s="105"/>
    </row>
    <row r="388" spans="2:13">
      <c r="B388" s="125"/>
      <c r="C388" s="16"/>
      <c r="D388" s="33" t="s">
        <v>682</v>
      </c>
      <c r="E388" s="29" t="s">
        <v>683</v>
      </c>
      <c r="F388" s="13" t="b">
        <v>0</v>
      </c>
      <c r="G388" s="13" t="b">
        <v>0</v>
      </c>
      <c r="H388" s="13" t="b">
        <v>0</v>
      </c>
      <c r="I388" s="13" t="b">
        <v>0</v>
      </c>
      <c r="J388" s="13" t="b">
        <v>0</v>
      </c>
      <c r="K388" s="76"/>
      <c r="L388" s="105">
        <f t="shared" si="5"/>
        <v>0</v>
      </c>
      <c r="M388" s="76"/>
    </row>
    <row r="389" spans="2:13">
      <c r="B389" s="125">
        <v>46124</v>
      </c>
      <c r="C389" s="16" t="s">
        <v>69</v>
      </c>
      <c r="D389" s="31" t="s">
        <v>684</v>
      </c>
      <c r="E389" s="32" t="s">
        <v>685</v>
      </c>
      <c r="F389" s="13" t="b">
        <v>1</v>
      </c>
      <c r="G389" s="13" t="b">
        <v>0</v>
      </c>
      <c r="H389" s="13" t="b">
        <v>0</v>
      </c>
      <c r="I389" s="13" t="b">
        <v>0</v>
      </c>
      <c r="J389" s="13" t="b">
        <v>0</v>
      </c>
      <c r="K389" s="105">
        <v>17</v>
      </c>
      <c r="L389" s="105">
        <f t="shared" si="5"/>
        <v>17</v>
      </c>
      <c r="M389" s="105"/>
    </row>
    <row r="390" spans="2:13">
      <c r="B390" s="125"/>
      <c r="C390" s="16"/>
      <c r="D390" s="31" t="s">
        <v>686</v>
      </c>
      <c r="E390" s="35" t="s">
        <v>58</v>
      </c>
      <c r="F390" s="13" t="b">
        <v>0</v>
      </c>
      <c r="G390" s="13" t="b">
        <v>0</v>
      </c>
      <c r="H390" s="13" t="b">
        <v>0</v>
      </c>
      <c r="I390" s="13" t="b">
        <v>0</v>
      </c>
      <c r="J390" s="13" t="b">
        <v>0</v>
      </c>
      <c r="K390" s="76"/>
      <c r="L390" s="105">
        <f t="shared" si="5"/>
        <v>0</v>
      </c>
      <c r="M390" s="76"/>
    </row>
    <row r="391" spans="2:13">
      <c r="B391" s="125"/>
      <c r="C391" s="16"/>
      <c r="D391" s="31" t="s">
        <v>687</v>
      </c>
      <c r="E391" s="32" t="s">
        <v>242</v>
      </c>
      <c r="F391" s="13" t="b">
        <v>0</v>
      </c>
      <c r="G391" s="13" t="b">
        <v>0</v>
      </c>
      <c r="H391" s="13" t="b">
        <v>0</v>
      </c>
      <c r="I391" s="13" t="b">
        <v>0</v>
      </c>
      <c r="J391" s="13" t="b">
        <v>0</v>
      </c>
      <c r="K391" s="105"/>
      <c r="L391" s="105">
        <f t="shared" ref="L391:L454" si="6">K391-M391</f>
        <v>0</v>
      </c>
      <c r="M391" s="105"/>
    </row>
    <row r="392" spans="2:13">
      <c r="B392" s="125"/>
      <c r="C392" s="16"/>
      <c r="D392" s="31" t="s">
        <v>688</v>
      </c>
      <c r="E392" s="32" t="s">
        <v>242</v>
      </c>
      <c r="F392" s="13" t="b">
        <v>0</v>
      </c>
      <c r="G392" s="13" t="b">
        <v>0</v>
      </c>
      <c r="H392" s="13" t="b">
        <v>0</v>
      </c>
      <c r="I392" s="13" t="b">
        <v>0</v>
      </c>
      <c r="J392" s="13" t="b">
        <v>0</v>
      </c>
      <c r="K392" s="76"/>
      <c r="L392" s="105">
        <f t="shared" si="6"/>
        <v>0</v>
      </c>
      <c r="M392" s="76"/>
    </row>
    <row r="393" spans="2:13">
      <c r="B393" s="125"/>
      <c r="C393" s="16"/>
      <c r="D393" s="31" t="s">
        <v>689</v>
      </c>
      <c r="E393" s="32" t="s">
        <v>242</v>
      </c>
      <c r="F393" s="13" t="b">
        <v>0</v>
      </c>
      <c r="G393" s="13" t="b">
        <v>0</v>
      </c>
      <c r="H393" s="13" t="b">
        <v>0</v>
      </c>
      <c r="I393" s="13" t="b">
        <v>0</v>
      </c>
      <c r="J393" s="13" t="b">
        <v>0</v>
      </c>
      <c r="K393" s="105"/>
      <c r="L393" s="105">
        <f t="shared" si="6"/>
        <v>0</v>
      </c>
      <c r="M393" s="105"/>
    </row>
    <row r="394" spans="2:13" ht="36">
      <c r="B394" s="125">
        <v>46119</v>
      </c>
      <c r="C394" s="16" t="s">
        <v>66</v>
      </c>
      <c r="D394" s="31" t="s">
        <v>690</v>
      </c>
      <c r="E394" s="32" t="s">
        <v>691</v>
      </c>
      <c r="F394" s="13" t="b">
        <v>1</v>
      </c>
      <c r="G394" s="13" t="b">
        <v>0</v>
      </c>
      <c r="H394" s="13" t="b">
        <v>0</v>
      </c>
      <c r="I394" s="13" t="b">
        <v>0</v>
      </c>
      <c r="J394" s="13" t="b">
        <v>0</v>
      </c>
      <c r="K394" s="76">
        <v>19</v>
      </c>
      <c r="L394" s="105">
        <f t="shared" si="6"/>
        <v>17</v>
      </c>
      <c r="M394" s="76">
        <v>2</v>
      </c>
    </row>
    <row r="395" spans="2:13" ht="24">
      <c r="B395" s="125">
        <v>46113</v>
      </c>
      <c r="C395" s="16" t="s">
        <v>66</v>
      </c>
      <c r="D395" s="31" t="s">
        <v>692</v>
      </c>
      <c r="E395" s="32" t="s">
        <v>693</v>
      </c>
      <c r="F395" s="13" t="b">
        <v>1</v>
      </c>
      <c r="G395" s="13" t="b">
        <v>0</v>
      </c>
      <c r="H395" s="13" t="b">
        <v>0</v>
      </c>
      <c r="I395" s="13" t="b">
        <v>0</v>
      </c>
      <c r="J395" s="13" t="b">
        <v>0</v>
      </c>
      <c r="K395" s="105">
        <v>33</v>
      </c>
      <c r="L395" s="105">
        <f t="shared" si="6"/>
        <v>31</v>
      </c>
      <c r="M395" s="105">
        <v>2</v>
      </c>
    </row>
    <row r="396" spans="2:13">
      <c r="B396" s="125"/>
      <c r="C396" s="16"/>
      <c r="D396" s="111" t="s">
        <v>694</v>
      </c>
      <c r="E396" s="32" t="s">
        <v>676</v>
      </c>
      <c r="F396" s="13" t="b">
        <v>0</v>
      </c>
      <c r="G396" s="13" t="b">
        <v>0</v>
      </c>
      <c r="H396" s="13" t="b">
        <v>0</v>
      </c>
      <c r="I396" s="13" t="b">
        <v>0</v>
      </c>
      <c r="J396" s="13" t="b">
        <v>0</v>
      </c>
      <c r="K396" s="76"/>
      <c r="L396" s="105">
        <f t="shared" si="6"/>
        <v>0</v>
      </c>
      <c r="M396" s="76"/>
    </row>
    <row r="397" spans="2:13">
      <c r="B397" s="125"/>
      <c r="C397" s="16"/>
      <c r="D397" s="111" t="s">
        <v>695</v>
      </c>
      <c r="E397" s="32" t="s">
        <v>676</v>
      </c>
      <c r="F397" s="13" t="b">
        <v>0</v>
      </c>
      <c r="G397" s="13" t="b">
        <v>0</v>
      </c>
      <c r="H397" s="13" t="b">
        <v>0</v>
      </c>
      <c r="I397" s="13" t="b">
        <v>0</v>
      </c>
      <c r="J397" s="13" t="b">
        <v>0</v>
      </c>
      <c r="K397" s="105"/>
      <c r="L397" s="105">
        <f t="shared" si="6"/>
        <v>0</v>
      </c>
      <c r="M397" s="105"/>
    </row>
    <row r="398" spans="2:13">
      <c r="B398" s="125"/>
      <c r="C398" s="16"/>
      <c r="D398" s="111" t="s">
        <v>696</v>
      </c>
      <c r="E398" s="32" t="s">
        <v>676</v>
      </c>
      <c r="F398" s="13" t="b">
        <v>0</v>
      </c>
      <c r="G398" s="13" t="b">
        <v>0</v>
      </c>
      <c r="H398" s="13" t="b">
        <v>0</v>
      </c>
      <c r="I398" s="13" t="b">
        <v>0</v>
      </c>
      <c r="J398" s="13" t="b">
        <v>0</v>
      </c>
      <c r="K398" s="76"/>
      <c r="L398" s="105">
        <f t="shared" si="6"/>
        <v>0</v>
      </c>
      <c r="M398" s="76"/>
    </row>
    <row r="399" spans="2:13">
      <c r="B399" s="125"/>
      <c r="C399" s="16"/>
      <c r="D399" s="31" t="s">
        <v>697</v>
      </c>
      <c r="E399" s="35" t="s">
        <v>58</v>
      </c>
      <c r="F399" s="13" t="b">
        <v>0</v>
      </c>
      <c r="G399" s="13" t="b">
        <v>0</v>
      </c>
      <c r="H399" s="13" t="b">
        <v>0</v>
      </c>
      <c r="I399" s="13" t="b">
        <v>0</v>
      </c>
      <c r="J399" s="13" t="b">
        <v>0</v>
      </c>
      <c r="K399" s="105"/>
      <c r="L399" s="105">
        <f t="shared" si="6"/>
        <v>0</v>
      </c>
      <c r="M399" s="105"/>
    </row>
    <row r="400" spans="2:13">
      <c r="B400" s="125"/>
      <c r="C400" s="16"/>
      <c r="D400" s="31" t="s">
        <v>698</v>
      </c>
      <c r="E400" s="35" t="s">
        <v>58</v>
      </c>
      <c r="F400" s="13" t="b">
        <v>0</v>
      </c>
      <c r="G400" s="13" t="b">
        <v>0</v>
      </c>
      <c r="H400" s="13" t="b">
        <v>0</v>
      </c>
      <c r="I400" s="13" t="b">
        <v>0</v>
      </c>
      <c r="J400" s="13" t="b">
        <v>0</v>
      </c>
      <c r="K400" s="76"/>
      <c r="L400" s="105">
        <f t="shared" si="6"/>
        <v>0</v>
      </c>
      <c r="M400" s="76"/>
    </row>
    <row r="401" spans="2:13">
      <c r="B401" s="125"/>
      <c r="C401" s="16"/>
      <c r="D401" s="31" t="s">
        <v>699</v>
      </c>
      <c r="E401" s="32" t="s">
        <v>272</v>
      </c>
      <c r="F401" s="13" t="b">
        <v>0</v>
      </c>
      <c r="G401" s="13" t="b">
        <v>0</v>
      </c>
      <c r="H401" s="13" t="b">
        <v>0</v>
      </c>
      <c r="I401" s="13" t="b">
        <v>0</v>
      </c>
      <c r="J401" s="13" t="b">
        <v>0</v>
      </c>
      <c r="K401" s="105"/>
      <c r="L401" s="105">
        <f t="shared" si="6"/>
        <v>0</v>
      </c>
      <c r="M401" s="105"/>
    </row>
    <row r="402" spans="2:13">
      <c r="B402" s="125"/>
      <c r="C402" s="16"/>
      <c r="D402" s="31" t="s">
        <v>700</v>
      </c>
      <c r="E402" s="32" t="s">
        <v>272</v>
      </c>
      <c r="F402" s="13" t="b">
        <v>0</v>
      </c>
      <c r="G402" s="13" t="b">
        <v>0</v>
      </c>
      <c r="H402" s="13" t="b">
        <v>0</v>
      </c>
      <c r="I402" s="13" t="b">
        <v>0</v>
      </c>
      <c r="J402" s="13" t="b">
        <v>0</v>
      </c>
      <c r="K402" s="76"/>
      <c r="L402" s="105">
        <f t="shared" si="6"/>
        <v>0</v>
      </c>
      <c r="M402" s="76"/>
    </row>
    <row r="403" spans="2:13">
      <c r="B403" s="125"/>
      <c r="C403" s="16"/>
      <c r="D403" s="31" t="s">
        <v>701</v>
      </c>
      <c r="E403" s="32" t="s">
        <v>272</v>
      </c>
      <c r="F403" s="13" t="b">
        <v>0</v>
      </c>
      <c r="G403" s="13" t="b">
        <v>0</v>
      </c>
      <c r="H403" s="13" t="b">
        <v>0</v>
      </c>
      <c r="I403" s="13" t="b">
        <v>0</v>
      </c>
      <c r="J403" s="13" t="b">
        <v>0</v>
      </c>
      <c r="K403" s="105"/>
      <c r="L403" s="105">
        <f t="shared" si="6"/>
        <v>0</v>
      </c>
      <c r="M403" s="105"/>
    </row>
    <row r="404" spans="2:13">
      <c r="B404" s="125"/>
      <c r="C404" s="16"/>
      <c r="D404" s="31" t="s">
        <v>702</v>
      </c>
      <c r="E404" s="32" t="s">
        <v>703</v>
      </c>
      <c r="F404" s="13" t="b">
        <v>0</v>
      </c>
      <c r="G404" s="13" t="b">
        <v>0</v>
      </c>
      <c r="H404" s="13" t="b">
        <v>0</v>
      </c>
      <c r="I404" s="13" t="b">
        <v>0</v>
      </c>
      <c r="J404" s="13" t="b">
        <v>0</v>
      </c>
      <c r="K404" s="76"/>
      <c r="L404" s="105">
        <f t="shared" si="6"/>
        <v>0</v>
      </c>
      <c r="M404" s="76"/>
    </row>
    <row r="405" spans="2:13">
      <c r="B405" s="125"/>
      <c r="C405" s="16"/>
      <c r="D405" s="31" t="s">
        <v>704</v>
      </c>
      <c r="E405" s="32" t="s">
        <v>272</v>
      </c>
      <c r="F405" s="13" t="b">
        <v>0</v>
      </c>
      <c r="G405" s="13" t="b">
        <v>0</v>
      </c>
      <c r="H405" s="13" t="b">
        <v>0</v>
      </c>
      <c r="I405" s="13" t="b">
        <v>0</v>
      </c>
      <c r="J405" s="13" t="b">
        <v>0</v>
      </c>
      <c r="K405" s="105"/>
      <c r="L405" s="105">
        <f t="shared" si="6"/>
        <v>0</v>
      </c>
      <c r="M405" s="105"/>
    </row>
    <row r="406" spans="2:13">
      <c r="B406" s="125">
        <v>46070</v>
      </c>
      <c r="C406" s="16" t="s">
        <v>94</v>
      </c>
      <c r="D406" s="31" t="s">
        <v>705</v>
      </c>
      <c r="E406" s="35" t="s">
        <v>706</v>
      </c>
      <c r="F406" s="13" t="b">
        <v>1</v>
      </c>
      <c r="G406" s="13" t="b">
        <v>0</v>
      </c>
      <c r="H406" s="13" t="b">
        <v>0</v>
      </c>
      <c r="I406" s="13" t="b">
        <v>0</v>
      </c>
      <c r="J406" s="13" t="b">
        <v>0</v>
      </c>
      <c r="K406" s="76">
        <v>13</v>
      </c>
      <c r="L406" s="105">
        <f t="shared" si="6"/>
        <v>13</v>
      </c>
      <c r="M406" s="76"/>
    </row>
    <row r="407" spans="2:13">
      <c r="B407" s="125"/>
      <c r="C407" s="16"/>
      <c r="D407" s="31" t="s">
        <v>707</v>
      </c>
      <c r="E407" s="35" t="s">
        <v>133</v>
      </c>
      <c r="F407" s="13" t="b">
        <v>0</v>
      </c>
      <c r="G407" s="13" t="b">
        <v>0</v>
      </c>
      <c r="H407" s="13" t="b">
        <v>0</v>
      </c>
      <c r="I407" s="13" t="b">
        <v>0</v>
      </c>
      <c r="J407" s="13" t="b">
        <v>0</v>
      </c>
      <c r="K407" s="105"/>
      <c r="L407" s="105">
        <f t="shared" si="6"/>
        <v>0</v>
      </c>
      <c r="M407" s="105"/>
    </row>
    <row r="408" spans="2:13">
      <c r="B408" s="125"/>
      <c r="C408" s="16"/>
      <c r="D408" s="31" t="s">
        <v>708</v>
      </c>
      <c r="E408" s="35" t="s">
        <v>135</v>
      </c>
      <c r="F408" s="13" t="b">
        <v>0</v>
      </c>
      <c r="G408" s="13" t="b">
        <v>0</v>
      </c>
      <c r="H408" s="13" t="b">
        <v>0</v>
      </c>
      <c r="I408" s="13" t="b">
        <v>0</v>
      </c>
      <c r="J408" s="13" t="b">
        <v>0</v>
      </c>
      <c r="K408" s="76"/>
      <c r="L408" s="105">
        <f t="shared" si="6"/>
        <v>0</v>
      </c>
      <c r="M408" s="76"/>
    </row>
    <row r="409" spans="2:13">
      <c r="B409" s="125"/>
      <c r="C409" s="16"/>
      <c r="D409" s="31" t="s">
        <v>709</v>
      </c>
      <c r="E409" s="35" t="s">
        <v>710</v>
      </c>
      <c r="F409" s="13" t="b">
        <v>0</v>
      </c>
      <c r="G409" s="13" t="b">
        <v>0</v>
      </c>
      <c r="H409" s="13" t="b">
        <v>0</v>
      </c>
      <c r="I409" s="13" t="b">
        <v>0</v>
      </c>
      <c r="J409" s="13" t="b">
        <v>0</v>
      </c>
      <c r="K409" s="105"/>
      <c r="L409" s="105">
        <f t="shared" si="6"/>
        <v>0</v>
      </c>
      <c r="M409" s="105"/>
    </row>
    <row r="410" spans="2:13">
      <c r="B410" s="125"/>
      <c r="C410" s="16"/>
      <c r="D410" s="31" t="s">
        <v>711</v>
      </c>
      <c r="E410" s="35" t="s">
        <v>58</v>
      </c>
      <c r="F410" s="13" t="b">
        <v>0</v>
      </c>
      <c r="G410" s="13" t="b">
        <v>0</v>
      </c>
      <c r="H410" s="13" t="b">
        <v>0</v>
      </c>
      <c r="I410" s="13" t="b">
        <v>0</v>
      </c>
      <c r="J410" s="13" t="b">
        <v>0</v>
      </c>
      <c r="K410" s="76"/>
      <c r="L410" s="105">
        <f t="shared" si="6"/>
        <v>0</v>
      </c>
      <c r="M410" s="76"/>
    </row>
    <row r="411" spans="2:13">
      <c r="B411" s="125">
        <v>46121</v>
      </c>
      <c r="C411" s="16" t="s">
        <v>53</v>
      </c>
      <c r="D411" s="31" t="s">
        <v>712</v>
      </c>
      <c r="E411" s="32" t="s">
        <v>713</v>
      </c>
      <c r="F411" s="13" t="b">
        <v>1</v>
      </c>
      <c r="G411" s="13" t="b">
        <v>0</v>
      </c>
      <c r="H411" s="13" t="b">
        <v>0</v>
      </c>
      <c r="I411" s="13" t="b">
        <v>0</v>
      </c>
      <c r="J411" s="13" t="b">
        <v>0</v>
      </c>
      <c r="K411" s="105">
        <v>92</v>
      </c>
      <c r="L411" s="105">
        <f t="shared" si="6"/>
        <v>92</v>
      </c>
      <c r="M411" s="105"/>
    </row>
    <row r="412" spans="2:13">
      <c r="B412" s="125"/>
      <c r="C412" s="16"/>
      <c r="D412" s="31" t="s">
        <v>714</v>
      </c>
      <c r="E412" s="32" t="s">
        <v>715</v>
      </c>
      <c r="F412" s="13" t="b">
        <v>0</v>
      </c>
      <c r="G412" s="13" t="b">
        <v>0</v>
      </c>
      <c r="H412" s="13" t="b">
        <v>0</v>
      </c>
      <c r="I412" s="13" t="b">
        <v>0</v>
      </c>
      <c r="J412" s="13" t="b">
        <v>0</v>
      </c>
      <c r="K412" s="76"/>
      <c r="L412" s="105">
        <f t="shared" si="6"/>
        <v>0</v>
      </c>
      <c r="M412" s="76"/>
    </row>
    <row r="413" spans="2:13" ht="27">
      <c r="B413" s="125">
        <v>46121</v>
      </c>
      <c r="C413" s="16" t="s">
        <v>62</v>
      </c>
      <c r="D413" s="30" t="s">
        <v>716</v>
      </c>
      <c r="E413" s="29" t="s">
        <v>717</v>
      </c>
      <c r="F413" s="13" t="b">
        <v>1</v>
      </c>
      <c r="G413" s="13" t="b">
        <v>0</v>
      </c>
      <c r="H413" s="13" t="b">
        <v>0</v>
      </c>
      <c r="I413" s="13" t="b">
        <v>0</v>
      </c>
      <c r="J413" s="13" t="b">
        <v>0</v>
      </c>
      <c r="K413" s="105">
        <v>8</v>
      </c>
      <c r="L413" s="105">
        <f t="shared" si="6"/>
        <v>8</v>
      </c>
      <c r="M413" s="105"/>
    </row>
    <row r="414" spans="2:13">
      <c r="B414" s="125">
        <v>46054</v>
      </c>
      <c r="C414" s="16" t="s">
        <v>69</v>
      </c>
      <c r="D414" s="30" t="s">
        <v>718</v>
      </c>
      <c r="E414" s="29" t="s">
        <v>719</v>
      </c>
      <c r="F414" s="13" t="b">
        <v>1</v>
      </c>
      <c r="G414" s="13" t="b">
        <v>0</v>
      </c>
      <c r="H414" s="13" t="b">
        <v>0</v>
      </c>
      <c r="I414" s="13" t="b">
        <v>0</v>
      </c>
      <c r="J414" s="13" t="b">
        <v>0</v>
      </c>
      <c r="K414" s="76">
        <v>21</v>
      </c>
      <c r="L414" s="105">
        <f t="shared" si="6"/>
        <v>19</v>
      </c>
      <c r="M414" s="76">
        <v>2</v>
      </c>
    </row>
    <row r="415" spans="2:13">
      <c r="B415" s="125"/>
      <c r="C415" s="16"/>
      <c r="D415" s="31" t="s">
        <v>720</v>
      </c>
      <c r="E415" s="32" t="s">
        <v>721</v>
      </c>
      <c r="F415" s="13" t="b">
        <v>0</v>
      </c>
      <c r="G415" s="13" t="b">
        <v>0</v>
      </c>
      <c r="H415" s="13" t="b">
        <v>0</v>
      </c>
      <c r="I415" s="13" t="b">
        <v>0</v>
      </c>
      <c r="J415" s="13" t="b">
        <v>0</v>
      </c>
      <c r="K415" s="105"/>
      <c r="L415" s="105">
        <f t="shared" si="6"/>
        <v>0</v>
      </c>
      <c r="M415" s="105"/>
    </row>
    <row r="416" spans="2:13">
      <c r="B416" s="125"/>
      <c r="C416" s="16"/>
      <c r="D416" s="31" t="s">
        <v>722</v>
      </c>
      <c r="E416" s="32" t="s">
        <v>721</v>
      </c>
      <c r="F416" s="13" t="b">
        <v>0</v>
      </c>
      <c r="G416" s="13" t="b">
        <v>0</v>
      </c>
      <c r="H416" s="13" t="b">
        <v>0</v>
      </c>
      <c r="I416" s="13" t="b">
        <v>0</v>
      </c>
      <c r="J416" s="13" t="b">
        <v>0</v>
      </c>
      <c r="K416" s="76"/>
      <c r="L416" s="105">
        <f t="shared" si="6"/>
        <v>0</v>
      </c>
      <c r="M416" s="76"/>
    </row>
    <row r="417" spans="2:13">
      <c r="B417" s="125"/>
      <c r="C417" s="16"/>
      <c r="D417" s="31" t="s">
        <v>723</v>
      </c>
      <c r="E417" s="32" t="s">
        <v>721</v>
      </c>
      <c r="F417" s="13" t="b">
        <v>0</v>
      </c>
      <c r="G417" s="13" t="b">
        <v>0</v>
      </c>
      <c r="H417" s="13" t="b">
        <v>0</v>
      </c>
      <c r="I417" s="13" t="b">
        <v>0</v>
      </c>
      <c r="J417" s="13" t="b">
        <v>0</v>
      </c>
      <c r="K417" s="105"/>
      <c r="L417" s="105">
        <f t="shared" si="6"/>
        <v>0</v>
      </c>
      <c r="M417" s="105"/>
    </row>
    <row r="418" spans="2:13">
      <c r="B418" s="125"/>
      <c r="C418" s="16"/>
      <c r="D418" s="31" t="s">
        <v>724</v>
      </c>
      <c r="E418" s="32" t="s">
        <v>721</v>
      </c>
      <c r="F418" s="13" t="b">
        <v>0</v>
      </c>
      <c r="G418" s="13" t="b">
        <v>0</v>
      </c>
      <c r="H418" s="13" t="b">
        <v>0</v>
      </c>
      <c r="I418" s="13" t="b">
        <v>0</v>
      </c>
      <c r="J418" s="13" t="b">
        <v>0</v>
      </c>
      <c r="K418" s="76"/>
      <c r="L418" s="105">
        <f t="shared" si="6"/>
        <v>0</v>
      </c>
      <c r="M418" s="76"/>
    </row>
    <row r="419" spans="2:13">
      <c r="B419" s="125"/>
      <c r="C419" s="16"/>
      <c r="D419" s="31" t="s">
        <v>725</v>
      </c>
      <c r="E419" s="32" t="s">
        <v>726</v>
      </c>
      <c r="F419" s="13" t="b">
        <v>0</v>
      </c>
      <c r="G419" s="13" t="b">
        <v>0</v>
      </c>
      <c r="H419" s="13" t="b">
        <v>0</v>
      </c>
      <c r="I419" s="13" t="b">
        <v>0</v>
      </c>
      <c r="J419" s="13" t="b">
        <v>0</v>
      </c>
      <c r="K419" s="105"/>
      <c r="L419" s="105">
        <f t="shared" si="6"/>
        <v>0</v>
      </c>
      <c r="M419" s="105"/>
    </row>
    <row r="420" spans="2:13">
      <c r="B420" s="125"/>
      <c r="C420" s="16"/>
      <c r="D420" s="31" t="s">
        <v>727</v>
      </c>
      <c r="E420" s="32" t="s">
        <v>728</v>
      </c>
      <c r="F420" s="13" t="b">
        <v>0</v>
      </c>
      <c r="G420" s="13" t="b">
        <v>0</v>
      </c>
      <c r="H420" s="13" t="b">
        <v>0</v>
      </c>
      <c r="I420" s="13" t="b">
        <v>0</v>
      </c>
      <c r="J420" s="13" t="b">
        <v>0</v>
      </c>
      <c r="K420" s="76"/>
      <c r="L420" s="105">
        <f t="shared" si="6"/>
        <v>0</v>
      </c>
      <c r="M420" s="76"/>
    </row>
    <row r="421" spans="2:13">
      <c r="B421" s="125"/>
      <c r="C421" s="16"/>
      <c r="D421" s="31" t="s">
        <v>729</v>
      </c>
      <c r="E421" s="32" t="s">
        <v>728</v>
      </c>
      <c r="F421" s="13" t="b">
        <v>0</v>
      </c>
      <c r="G421" s="13" t="b">
        <v>0</v>
      </c>
      <c r="H421" s="13" t="b">
        <v>0</v>
      </c>
      <c r="I421" s="13" t="b">
        <v>0</v>
      </c>
      <c r="J421" s="13" t="b">
        <v>0</v>
      </c>
      <c r="K421" s="105"/>
      <c r="L421" s="105">
        <f t="shared" si="6"/>
        <v>0</v>
      </c>
      <c r="M421" s="105"/>
    </row>
    <row r="422" spans="2:13">
      <c r="B422" s="125"/>
      <c r="C422" s="16"/>
      <c r="D422" s="31" t="s">
        <v>730</v>
      </c>
      <c r="E422" s="32" t="s">
        <v>731</v>
      </c>
      <c r="F422" s="13" t="b">
        <v>0</v>
      </c>
      <c r="G422" s="13" t="b">
        <v>0</v>
      </c>
      <c r="H422" s="13" t="b">
        <v>0</v>
      </c>
      <c r="I422" s="13" t="b">
        <v>0</v>
      </c>
      <c r="J422" s="13" t="b">
        <v>0</v>
      </c>
      <c r="K422" s="76"/>
      <c r="L422" s="105">
        <f t="shared" si="6"/>
        <v>0</v>
      </c>
      <c r="M422" s="76"/>
    </row>
    <row r="423" spans="2:13">
      <c r="B423" s="125"/>
      <c r="C423" s="16"/>
      <c r="D423" s="31" t="s">
        <v>732</v>
      </c>
      <c r="E423" s="32" t="s">
        <v>731</v>
      </c>
      <c r="F423" s="13" t="b">
        <v>0</v>
      </c>
      <c r="G423" s="13" t="b">
        <v>0</v>
      </c>
      <c r="H423" s="13" t="b">
        <v>0</v>
      </c>
      <c r="I423" s="13" t="b">
        <v>0</v>
      </c>
      <c r="J423" s="13" t="b">
        <v>0</v>
      </c>
      <c r="K423" s="105"/>
      <c r="L423" s="105">
        <f t="shared" si="6"/>
        <v>0</v>
      </c>
      <c r="M423" s="105"/>
    </row>
    <row r="424" spans="2:13">
      <c r="B424" s="125"/>
      <c r="C424" s="16"/>
      <c r="D424" s="31" t="s">
        <v>733</v>
      </c>
      <c r="E424" s="32" t="s">
        <v>734</v>
      </c>
      <c r="F424" s="13" t="b">
        <v>0</v>
      </c>
      <c r="G424" s="13" t="b">
        <v>0</v>
      </c>
      <c r="H424" s="13" t="b">
        <v>0</v>
      </c>
      <c r="I424" s="13" t="b">
        <v>0</v>
      </c>
      <c r="J424" s="13" t="b">
        <v>0</v>
      </c>
      <c r="K424" s="76"/>
      <c r="L424" s="105">
        <f t="shared" si="6"/>
        <v>0</v>
      </c>
      <c r="M424" s="76"/>
    </row>
    <row r="425" spans="2:13">
      <c r="B425" s="125"/>
      <c r="C425" s="16"/>
      <c r="D425" s="31" t="s">
        <v>735</v>
      </c>
      <c r="E425" s="32" t="s">
        <v>734</v>
      </c>
      <c r="F425" s="13" t="b">
        <v>0</v>
      </c>
      <c r="G425" s="13" t="b">
        <v>0</v>
      </c>
      <c r="H425" s="13" t="b">
        <v>0</v>
      </c>
      <c r="I425" s="13" t="b">
        <v>0</v>
      </c>
      <c r="J425" s="13" t="b">
        <v>0</v>
      </c>
      <c r="K425" s="105"/>
      <c r="L425" s="105">
        <f t="shared" si="6"/>
        <v>0</v>
      </c>
      <c r="M425" s="105"/>
    </row>
    <row r="426" spans="2:13">
      <c r="B426" s="125"/>
      <c r="C426" s="16"/>
      <c r="D426" s="31" t="s">
        <v>736</v>
      </c>
      <c r="E426" s="32" t="s">
        <v>734</v>
      </c>
      <c r="F426" s="13" t="b">
        <v>0</v>
      </c>
      <c r="G426" s="13" t="b">
        <v>0</v>
      </c>
      <c r="H426" s="13" t="b">
        <v>0</v>
      </c>
      <c r="I426" s="13" t="b">
        <v>0</v>
      </c>
      <c r="J426" s="13" t="b">
        <v>0</v>
      </c>
      <c r="K426" s="76"/>
      <c r="L426" s="105">
        <f t="shared" si="6"/>
        <v>0</v>
      </c>
      <c r="M426" s="76"/>
    </row>
    <row r="427" spans="2:13">
      <c r="B427" s="125"/>
      <c r="C427" s="16"/>
      <c r="D427" s="31" t="s">
        <v>737</v>
      </c>
      <c r="E427" s="32" t="s">
        <v>734</v>
      </c>
      <c r="F427" s="13" t="b">
        <v>0</v>
      </c>
      <c r="G427" s="13" t="b">
        <v>0</v>
      </c>
      <c r="H427" s="13" t="b">
        <v>0</v>
      </c>
      <c r="I427" s="13" t="b">
        <v>0</v>
      </c>
      <c r="J427" s="13" t="b">
        <v>0</v>
      </c>
      <c r="K427" s="105"/>
      <c r="L427" s="105">
        <f t="shared" si="6"/>
        <v>0</v>
      </c>
      <c r="M427" s="105"/>
    </row>
    <row r="428" spans="2:13">
      <c r="B428" s="125"/>
      <c r="C428" s="16"/>
      <c r="D428" s="31" t="s">
        <v>738</v>
      </c>
      <c r="E428" s="32" t="s">
        <v>715</v>
      </c>
      <c r="F428" s="13" t="b">
        <v>0</v>
      </c>
      <c r="G428" s="13" t="b">
        <v>0</v>
      </c>
      <c r="H428" s="13" t="b">
        <v>0</v>
      </c>
      <c r="I428" s="13" t="b">
        <v>0</v>
      </c>
      <c r="J428" s="13" t="b">
        <v>0</v>
      </c>
      <c r="K428" s="76"/>
      <c r="L428" s="105">
        <f t="shared" si="6"/>
        <v>0</v>
      </c>
      <c r="M428" s="76"/>
    </row>
    <row r="429" spans="2:13">
      <c r="B429" s="125"/>
      <c r="C429" s="16"/>
      <c r="D429" s="31" t="s">
        <v>739</v>
      </c>
      <c r="E429" s="32" t="s">
        <v>740</v>
      </c>
      <c r="F429" s="13" t="b">
        <v>0</v>
      </c>
      <c r="G429" s="13" t="b">
        <v>0</v>
      </c>
      <c r="H429" s="13" t="b">
        <v>0</v>
      </c>
      <c r="I429" s="13" t="b">
        <v>0</v>
      </c>
      <c r="J429" s="13" t="b">
        <v>0</v>
      </c>
      <c r="K429" s="105"/>
      <c r="L429" s="105">
        <f t="shared" si="6"/>
        <v>0</v>
      </c>
      <c r="M429" s="105"/>
    </row>
    <row r="430" spans="2:13">
      <c r="B430" s="125"/>
      <c r="C430" s="16"/>
      <c r="D430" s="31" t="s">
        <v>739</v>
      </c>
      <c r="E430" s="32" t="s">
        <v>679</v>
      </c>
      <c r="F430" s="13" t="b">
        <v>0</v>
      </c>
      <c r="G430" s="13" t="b">
        <v>0</v>
      </c>
      <c r="H430" s="13" t="b">
        <v>0</v>
      </c>
      <c r="I430" s="13" t="b">
        <v>0</v>
      </c>
      <c r="J430" s="13" t="b">
        <v>0</v>
      </c>
      <c r="K430" s="76"/>
      <c r="L430" s="105">
        <f t="shared" si="6"/>
        <v>0</v>
      </c>
      <c r="M430" s="76"/>
    </row>
    <row r="431" spans="2:13">
      <c r="B431" s="125"/>
      <c r="C431" s="16"/>
      <c r="D431" s="31" t="s">
        <v>741</v>
      </c>
      <c r="E431" s="32" t="s">
        <v>679</v>
      </c>
      <c r="F431" s="13" t="b">
        <v>0</v>
      </c>
      <c r="G431" s="13" t="b">
        <v>0</v>
      </c>
      <c r="H431" s="13" t="b">
        <v>0</v>
      </c>
      <c r="I431" s="13" t="b">
        <v>0</v>
      </c>
      <c r="J431" s="13" t="b">
        <v>0</v>
      </c>
      <c r="K431" s="105"/>
      <c r="L431" s="105">
        <f t="shared" si="6"/>
        <v>0</v>
      </c>
      <c r="M431" s="105"/>
    </row>
    <row r="432" spans="2:13">
      <c r="B432" s="125"/>
      <c r="C432" s="16"/>
      <c r="D432" s="31" t="s">
        <v>742</v>
      </c>
      <c r="E432" s="32" t="s">
        <v>679</v>
      </c>
      <c r="F432" s="13" t="b">
        <v>0</v>
      </c>
      <c r="G432" s="13" t="b">
        <v>0</v>
      </c>
      <c r="H432" s="13" t="b">
        <v>0</v>
      </c>
      <c r="I432" s="13" t="b">
        <v>0</v>
      </c>
      <c r="J432" s="13" t="b">
        <v>0</v>
      </c>
      <c r="K432" s="76"/>
      <c r="L432" s="105">
        <f t="shared" si="6"/>
        <v>0</v>
      </c>
      <c r="M432" s="76"/>
    </row>
    <row r="433" spans="2:13">
      <c r="B433" s="125"/>
      <c r="C433" s="16"/>
      <c r="D433" s="31" t="s">
        <v>743</v>
      </c>
      <c r="E433" s="32" t="s">
        <v>679</v>
      </c>
      <c r="F433" s="13" t="b">
        <v>0</v>
      </c>
      <c r="G433" s="13" t="b">
        <v>0</v>
      </c>
      <c r="H433" s="13" t="b">
        <v>0</v>
      </c>
      <c r="I433" s="13" t="b">
        <v>0</v>
      </c>
      <c r="J433" s="13" t="b">
        <v>0</v>
      </c>
      <c r="K433" s="105"/>
      <c r="L433" s="105">
        <f t="shared" si="6"/>
        <v>0</v>
      </c>
      <c r="M433" s="105"/>
    </row>
    <row r="434" spans="2:13">
      <c r="B434" s="125"/>
      <c r="C434" s="16"/>
      <c r="D434" s="31" t="s">
        <v>744</v>
      </c>
      <c r="E434" s="32" t="s">
        <v>679</v>
      </c>
      <c r="F434" s="13" t="b">
        <v>0</v>
      </c>
      <c r="G434" s="13" t="b">
        <v>0</v>
      </c>
      <c r="H434" s="13" t="b">
        <v>0</v>
      </c>
      <c r="I434" s="13" t="b">
        <v>0</v>
      </c>
      <c r="J434" s="13" t="b">
        <v>0</v>
      </c>
      <c r="K434" s="76"/>
      <c r="L434" s="105">
        <f t="shared" si="6"/>
        <v>0</v>
      </c>
      <c r="M434" s="76"/>
    </row>
    <row r="435" spans="2:13">
      <c r="B435" s="125"/>
      <c r="C435" s="16"/>
      <c r="D435" s="31" t="s">
        <v>745</v>
      </c>
      <c r="E435" s="32" t="s">
        <v>679</v>
      </c>
      <c r="F435" s="13" t="b">
        <v>0</v>
      </c>
      <c r="G435" s="13" t="b">
        <v>0</v>
      </c>
      <c r="H435" s="13" t="b">
        <v>0</v>
      </c>
      <c r="I435" s="13" t="b">
        <v>0</v>
      </c>
      <c r="J435" s="13" t="b">
        <v>0</v>
      </c>
      <c r="K435" s="105"/>
      <c r="L435" s="105">
        <f t="shared" si="6"/>
        <v>0</v>
      </c>
      <c r="M435" s="105"/>
    </row>
    <row r="436" spans="2:13">
      <c r="B436" s="125"/>
      <c r="C436" s="16"/>
      <c r="D436" s="31" t="s">
        <v>746</v>
      </c>
      <c r="E436" s="32" t="s">
        <v>721</v>
      </c>
      <c r="F436" s="13" t="b">
        <v>0</v>
      </c>
      <c r="G436" s="13" t="b">
        <v>0</v>
      </c>
      <c r="H436" s="13" t="b">
        <v>0</v>
      </c>
      <c r="I436" s="13" t="b">
        <v>0</v>
      </c>
      <c r="J436" s="13" t="b">
        <v>0</v>
      </c>
      <c r="K436" s="76"/>
      <c r="L436" s="105">
        <f t="shared" si="6"/>
        <v>0</v>
      </c>
      <c r="M436" s="76"/>
    </row>
    <row r="437" spans="2:13">
      <c r="B437" s="125"/>
      <c r="C437" s="16"/>
      <c r="D437" s="31" t="s">
        <v>747</v>
      </c>
      <c r="E437" s="32" t="s">
        <v>748</v>
      </c>
      <c r="F437" s="13" t="b">
        <v>0</v>
      </c>
      <c r="G437" s="13" t="b">
        <v>0</v>
      </c>
      <c r="H437" s="13" t="b">
        <v>0</v>
      </c>
      <c r="I437" s="13" t="b">
        <v>0</v>
      </c>
      <c r="J437" s="13" t="b">
        <v>0</v>
      </c>
      <c r="K437" s="105"/>
      <c r="L437" s="105">
        <f t="shared" si="6"/>
        <v>0</v>
      </c>
      <c r="M437" s="105"/>
    </row>
    <row r="438" spans="2:13">
      <c r="B438" s="125"/>
      <c r="C438" s="16"/>
      <c r="D438" s="31" t="s">
        <v>749</v>
      </c>
      <c r="E438" s="32" t="s">
        <v>748</v>
      </c>
      <c r="F438" s="13" t="b">
        <v>0</v>
      </c>
      <c r="G438" s="13" t="b">
        <v>0</v>
      </c>
      <c r="H438" s="13" t="b">
        <v>0</v>
      </c>
      <c r="I438" s="13" t="b">
        <v>0</v>
      </c>
      <c r="J438" s="13" t="b">
        <v>0</v>
      </c>
      <c r="K438" s="76"/>
      <c r="L438" s="105">
        <f t="shared" si="6"/>
        <v>0</v>
      </c>
      <c r="M438" s="76"/>
    </row>
    <row r="439" spans="2:13">
      <c r="B439" s="125"/>
      <c r="C439" s="16"/>
      <c r="D439" s="31" t="s">
        <v>750</v>
      </c>
      <c r="E439" s="32" t="s">
        <v>748</v>
      </c>
      <c r="F439" s="13" t="b">
        <v>0</v>
      </c>
      <c r="G439" s="13" t="b">
        <v>0</v>
      </c>
      <c r="H439" s="13" t="b">
        <v>0</v>
      </c>
      <c r="I439" s="13" t="b">
        <v>0</v>
      </c>
      <c r="J439" s="13" t="b">
        <v>0</v>
      </c>
      <c r="K439" s="105"/>
      <c r="L439" s="105">
        <f t="shared" si="6"/>
        <v>0</v>
      </c>
      <c r="M439" s="105"/>
    </row>
    <row r="440" spans="2:13">
      <c r="B440" s="125"/>
      <c r="C440" s="16"/>
      <c r="D440" s="31" t="s">
        <v>751</v>
      </c>
      <c r="E440" s="32" t="s">
        <v>748</v>
      </c>
      <c r="F440" s="13" t="b">
        <v>0</v>
      </c>
      <c r="G440" s="13" t="b">
        <v>0</v>
      </c>
      <c r="H440" s="13" t="b">
        <v>0</v>
      </c>
      <c r="I440" s="13" t="b">
        <v>0</v>
      </c>
      <c r="J440" s="13" t="b">
        <v>0</v>
      </c>
      <c r="K440" s="76"/>
      <c r="L440" s="105">
        <f t="shared" si="6"/>
        <v>0</v>
      </c>
      <c r="M440" s="76"/>
    </row>
    <row r="441" spans="2:13">
      <c r="B441" s="125"/>
      <c r="C441" s="16"/>
      <c r="D441" s="31" t="s">
        <v>752</v>
      </c>
      <c r="E441" s="32" t="s">
        <v>748</v>
      </c>
      <c r="F441" s="13" t="b">
        <v>0</v>
      </c>
      <c r="G441" s="13" t="b">
        <v>0</v>
      </c>
      <c r="H441" s="13" t="b">
        <v>0</v>
      </c>
      <c r="I441" s="13" t="b">
        <v>0</v>
      </c>
      <c r="J441" s="13" t="b">
        <v>0</v>
      </c>
      <c r="K441" s="105"/>
      <c r="L441" s="105">
        <f t="shared" si="6"/>
        <v>0</v>
      </c>
      <c r="M441" s="105"/>
    </row>
    <row r="442" spans="2:13">
      <c r="B442" s="125"/>
      <c r="C442" s="16"/>
      <c r="D442" s="31" t="s">
        <v>753</v>
      </c>
      <c r="E442" s="32" t="s">
        <v>748</v>
      </c>
      <c r="F442" s="13" t="b">
        <v>0</v>
      </c>
      <c r="G442" s="13" t="b">
        <v>0</v>
      </c>
      <c r="H442" s="13" t="b">
        <v>0</v>
      </c>
      <c r="I442" s="13" t="b">
        <v>0</v>
      </c>
      <c r="J442" s="13" t="b">
        <v>0</v>
      </c>
      <c r="K442" s="76"/>
      <c r="L442" s="105">
        <f t="shared" si="6"/>
        <v>0</v>
      </c>
      <c r="M442" s="76"/>
    </row>
    <row r="443" spans="2:13">
      <c r="B443" s="125"/>
      <c r="C443" s="16"/>
      <c r="D443" s="31" t="s">
        <v>754</v>
      </c>
      <c r="E443" s="32" t="s">
        <v>748</v>
      </c>
      <c r="F443" s="13" t="b">
        <v>0</v>
      </c>
      <c r="G443" s="13" t="b">
        <v>0</v>
      </c>
      <c r="H443" s="13" t="b">
        <v>0</v>
      </c>
      <c r="I443" s="13" t="b">
        <v>0</v>
      </c>
      <c r="J443" s="13" t="b">
        <v>0</v>
      </c>
      <c r="K443" s="105"/>
      <c r="L443" s="105">
        <f t="shared" si="6"/>
        <v>0</v>
      </c>
      <c r="M443" s="105"/>
    </row>
    <row r="444" spans="2:13">
      <c r="B444" s="125"/>
      <c r="C444" s="16"/>
      <c r="D444" s="31" t="s">
        <v>755</v>
      </c>
      <c r="E444" s="32" t="s">
        <v>756</v>
      </c>
      <c r="F444" s="13" t="b">
        <v>0</v>
      </c>
      <c r="G444" s="13" t="b">
        <v>0</v>
      </c>
      <c r="H444" s="13" t="b">
        <v>0</v>
      </c>
      <c r="I444" s="13" t="b">
        <v>0</v>
      </c>
      <c r="J444" s="13" t="b">
        <v>0</v>
      </c>
      <c r="K444" s="76"/>
      <c r="L444" s="105">
        <f t="shared" si="6"/>
        <v>0</v>
      </c>
      <c r="M444" s="76"/>
    </row>
    <row r="445" spans="2:13">
      <c r="B445" s="125"/>
      <c r="C445" s="16"/>
      <c r="D445" s="31" t="s">
        <v>757</v>
      </c>
      <c r="E445" s="32" t="s">
        <v>758</v>
      </c>
      <c r="F445" s="13" t="b">
        <v>0</v>
      </c>
      <c r="G445" s="13" t="b">
        <v>0</v>
      </c>
      <c r="H445" s="13" t="b">
        <v>0</v>
      </c>
      <c r="I445" s="13" t="b">
        <v>0</v>
      </c>
      <c r="J445" s="13" t="b">
        <v>0</v>
      </c>
      <c r="K445" s="105"/>
      <c r="L445" s="105">
        <f t="shared" si="6"/>
        <v>0</v>
      </c>
      <c r="M445" s="105"/>
    </row>
    <row r="446" spans="2:13">
      <c r="B446" s="125"/>
      <c r="C446" s="16"/>
      <c r="D446" s="31" t="s">
        <v>759</v>
      </c>
      <c r="E446" s="32" t="s">
        <v>760</v>
      </c>
      <c r="F446" s="13" t="b">
        <v>0</v>
      </c>
      <c r="G446" s="13" t="b">
        <v>0</v>
      </c>
      <c r="H446" s="13" t="b">
        <v>0</v>
      </c>
      <c r="I446" s="13" t="b">
        <v>0</v>
      </c>
      <c r="J446" s="13" t="b">
        <v>0</v>
      </c>
      <c r="K446" s="76"/>
      <c r="L446" s="105">
        <f t="shared" si="6"/>
        <v>0</v>
      </c>
      <c r="M446" s="76"/>
    </row>
    <row r="447" spans="2:13">
      <c r="B447" s="125"/>
      <c r="C447" s="16"/>
      <c r="D447" s="31" t="s">
        <v>761</v>
      </c>
      <c r="E447" s="32" t="s">
        <v>762</v>
      </c>
      <c r="F447" s="13" t="b">
        <v>0</v>
      </c>
      <c r="G447" s="13" t="b">
        <v>0</v>
      </c>
      <c r="H447" s="13" t="b">
        <v>0</v>
      </c>
      <c r="I447" s="13" t="b">
        <v>0</v>
      </c>
      <c r="J447" s="13" t="b">
        <v>0</v>
      </c>
      <c r="K447" s="105"/>
      <c r="L447" s="105">
        <f t="shared" si="6"/>
        <v>0</v>
      </c>
      <c r="M447" s="105"/>
    </row>
    <row r="448" spans="2:13">
      <c r="B448" s="125"/>
      <c r="C448" s="16"/>
      <c r="D448" s="31" t="s">
        <v>763</v>
      </c>
      <c r="E448" s="32" t="s">
        <v>764</v>
      </c>
      <c r="F448" s="13" t="b">
        <v>0</v>
      </c>
      <c r="G448" s="13" t="b">
        <v>0</v>
      </c>
      <c r="H448" s="13" t="b">
        <v>0</v>
      </c>
      <c r="I448" s="13" t="b">
        <v>0</v>
      </c>
      <c r="J448" s="13" t="b">
        <v>0</v>
      </c>
      <c r="K448" s="76"/>
      <c r="L448" s="105">
        <f t="shared" si="6"/>
        <v>0</v>
      </c>
      <c r="M448" s="76"/>
    </row>
    <row r="449" spans="2:13">
      <c r="B449" s="125">
        <v>46124</v>
      </c>
      <c r="C449" s="16" t="s">
        <v>69</v>
      </c>
      <c r="D449" s="31" t="s">
        <v>765</v>
      </c>
      <c r="E449" s="32" t="s">
        <v>766</v>
      </c>
      <c r="F449" s="13" t="b">
        <v>1</v>
      </c>
      <c r="G449" s="13" t="b">
        <v>0</v>
      </c>
      <c r="H449" s="13" t="b">
        <v>0</v>
      </c>
      <c r="I449" s="13" t="b">
        <v>0</v>
      </c>
      <c r="J449" s="13" t="b">
        <v>0</v>
      </c>
      <c r="K449" s="105">
        <v>10</v>
      </c>
      <c r="L449" s="105">
        <f t="shared" si="6"/>
        <v>10</v>
      </c>
      <c r="M449" s="105"/>
    </row>
    <row r="450" spans="2:13">
      <c r="B450" s="125"/>
      <c r="C450" s="16"/>
      <c r="D450" s="31" t="s">
        <v>767</v>
      </c>
      <c r="E450" s="32" t="s">
        <v>768</v>
      </c>
      <c r="F450" s="13" t="b">
        <v>0</v>
      </c>
      <c r="G450" s="13" t="b">
        <v>0</v>
      </c>
      <c r="H450" s="13" t="b">
        <v>0</v>
      </c>
      <c r="I450" s="13" t="b">
        <v>0</v>
      </c>
      <c r="J450" s="13" t="b">
        <v>0</v>
      </c>
      <c r="K450" s="76"/>
      <c r="L450" s="105">
        <f t="shared" si="6"/>
        <v>0</v>
      </c>
      <c r="M450" s="76"/>
    </row>
    <row r="451" spans="2:13">
      <c r="B451" s="125"/>
      <c r="C451" s="16"/>
      <c r="D451" s="31" t="s">
        <v>769</v>
      </c>
      <c r="E451" s="32" t="s">
        <v>770</v>
      </c>
      <c r="F451" s="13" t="b">
        <v>0</v>
      </c>
      <c r="G451" s="13" t="b">
        <v>0</v>
      </c>
      <c r="H451" s="13" t="b">
        <v>0</v>
      </c>
      <c r="I451" s="13" t="b">
        <v>0</v>
      </c>
      <c r="J451" s="13" t="b">
        <v>0</v>
      </c>
      <c r="K451" s="105"/>
      <c r="L451" s="105">
        <f t="shared" si="6"/>
        <v>0</v>
      </c>
      <c r="M451" s="105"/>
    </row>
    <row r="452" spans="2:13">
      <c r="B452" s="125"/>
      <c r="C452" s="16"/>
      <c r="D452" s="31" t="s">
        <v>771</v>
      </c>
      <c r="E452" s="32" t="s">
        <v>772</v>
      </c>
      <c r="F452" s="13" t="b">
        <v>0</v>
      </c>
      <c r="G452" s="13" t="b">
        <v>0</v>
      </c>
      <c r="H452" s="13" t="b">
        <v>0</v>
      </c>
      <c r="I452" s="13" t="b">
        <v>0</v>
      </c>
      <c r="J452" s="13" t="b">
        <v>0</v>
      </c>
      <c r="K452" s="76"/>
      <c r="L452" s="105">
        <f t="shared" si="6"/>
        <v>0</v>
      </c>
      <c r="M452" s="76"/>
    </row>
    <row r="453" spans="2:13">
      <c r="B453" s="125"/>
      <c r="C453" s="16"/>
      <c r="D453" s="31" t="s">
        <v>773</v>
      </c>
      <c r="E453" s="32" t="s">
        <v>774</v>
      </c>
      <c r="F453" s="13" t="b">
        <v>0</v>
      </c>
      <c r="G453" s="13" t="b">
        <v>0</v>
      </c>
      <c r="H453" s="13" t="b">
        <v>0</v>
      </c>
      <c r="I453" s="13" t="b">
        <v>0</v>
      </c>
      <c r="J453" s="13" t="b">
        <v>0</v>
      </c>
      <c r="K453" s="105"/>
      <c r="L453" s="105">
        <f t="shared" si="6"/>
        <v>0</v>
      </c>
      <c r="M453" s="105"/>
    </row>
    <row r="454" spans="2:13">
      <c r="B454" s="125"/>
      <c r="C454" s="16"/>
      <c r="D454" s="31" t="s">
        <v>775</v>
      </c>
      <c r="E454" s="32" t="s">
        <v>776</v>
      </c>
      <c r="F454" s="13" t="b">
        <v>0</v>
      </c>
      <c r="G454" s="13" t="b">
        <v>0</v>
      </c>
      <c r="H454" s="13" t="b">
        <v>0</v>
      </c>
      <c r="I454" s="13" t="b">
        <v>0</v>
      </c>
      <c r="J454" s="13" t="b">
        <v>0</v>
      </c>
      <c r="K454" s="76"/>
      <c r="L454" s="105">
        <f t="shared" si="6"/>
        <v>0</v>
      </c>
      <c r="M454" s="76"/>
    </row>
    <row r="455" spans="2:13">
      <c r="B455" s="125"/>
      <c r="C455" s="16"/>
      <c r="D455" s="31" t="s">
        <v>777</v>
      </c>
      <c r="E455" s="32" t="s">
        <v>778</v>
      </c>
      <c r="F455" s="13" t="b">
        <v>0</v>
      </c>
      <c r="G455" s="13" t="b">
        <v>0</v>
      </c>
      <c r="H455" s="13" t="b">
        <v>0</v>
      </c>
      <c r="I455" s="13" t="b">
        <v>0</v>
      </c>
      <c r="J455" s="13" t="b">
        <v>0</v>
      </c>
      <c r="K455" s="105"/>
      <c r="L455" s="105">
        <f t="shared" ref="L455:L518" si="7">K455-M455</f>
        <v>0</v>
      </c>
      <c r="M455" s="105"/>
    </row>
    <row r="456" spans="2:13">
      <c r="B456" s="125"/>
      <c r="C456" s="16"/>
      <c r="D456" s="31" t="s">
        <v>779</v>
      </c>
      <c r="E456" s="32" t="s">
        <v>780</v>
      </c>
      <c r="F456" s="13" t="b">
        <v>0</v>
      </c>
      <c r="G456" s="13" t="b">
        <v>0</v>
      </c>
      <c r="H456" s="13" t="b">
        <v>0</v>
      </c>
      <c r="I456" s="13" t="b">
        <v>0</v>
      </c>
      <c r="J456" s="13" t="b">
        <v>0</v>
      </c>
      <c r="K456" s="76"/>
      <c r="L456" s="105">
        <f t="shared" si="7"/>
        <v>0</v>
      </c>
      <c r="M456" s="76"/>
    </row>
    <row r="457" spans="2:13">
      <c r="B457" s="125">
        <v>46043</v>
      </c>
      <c r="C457" s="16" t="s">
        <v>66</v>
      </c>
      <c r="D457" s="30" t="s">
        <v>781</v>
      </c>
      <c r="E457" s="34" t="s">
        <v>272</v>
      </c>
      <c r="F457" s="13" t="b">
        <v>1</v>
      </c>
      <c r="G457" s="13" t="b">
        <v>0</v>
      </c>
      <c r="H457" s="13" t="b">
        <v>0</v>
      </c>
      <c r="I457" s="13" t="b">
        <v>0</v>
      </c>
      <c r="J457" s="13" t="b">
        <v>0</v>
      </c>
      <c r="K457" s="105">
        <v>30</v>
      </c>
      <c r="L457" s="105">
        <f t="shared" si="7"/>
        <v>19</v>
      </c>
      <c r="M457" s="105">
        <v>11</v>
      </c>
    </row>
    <row r="458" spans="2:13">
      <c r="B458" s="125"/>
      <c r="C458" s="16"/>
      <c r="D458" s="31" t="s">
        <v>782</v>
      </c>
      <c r="E458" s="32" t="s">
        <v>783</v>
      </c>
      <c r="F458" s="13" t="b">
        <v>0</v>
      </c>
      <c r="G458" s="13" t="b">
        <v>0</v>
      </c>
      <c r="H458" s="13" t="b">
        <v>0</v>
      </c>
      <c r="I458" s="13" t="b">
        <v>0</v>
      </c>
      <c r="J458" s="13" t="b">
        <v>0</v>
      </c>
      <c r="K458" s="76"/>
      <c r="L458" s="105">
        <f t="shared" si="7"/>
        <v>0</v>
      </c>
      <c r="M458" s="76"/>
    </row>
    <row r="459" spans="2:13">
      <c r="B459" s="125"/>
      <c r="C459" s="16"/>
      <c r="D459" s="31" t="s">
        <v>784</v>
      </c>
      <c r="E459" s="32" t="s">
        <v>679</v>
      </c>
      <c r="F459" s="13" t="b">
        <v>0</v>
      </c>
      <c r="G459" s="13" t="b">
        <v>0</v>
      </c>
      <c r="H459" s="13" t="b">
        <v>0</v>
      </c>
      <c r="I459" s="13" t="b">
        <v>0</v>
      </c>
      <c r="J459" s="13" t="b">
        <v>0</v>
      </c>
      <c r="K459" s="105"/>
      <c r="L459" s="105">
        <f t="shared" si="7"/>
        <v>0</v>
      </c>
      <c r="M459" s="105"/>
    </row>
    <row r="460" spans="2:13">
      <c r="B460" s="125"/>
      <c r="C460" s="16"/>
      <c r="D460" s="31" t="s">
        <v>785</v>
      </c>
      <c r="E460" s="32" t="s">
        <v>679</v>
      </c>
      <c r="F460" s="13" t="b">
        <v>0</v>
      </c>
      <c r="G460" s="13" t="b">
        <v>0</v>
      </c>
      <c r="H460" s="13" t="b">
        <v>0</v>
      </c>
      <c r="I460" s="13" t="b">
        <v>0</v>
      </c>
      <c r="J460" s="13" t="b">
        <v>0</v>
      </c>
      <c r="K460" s="76"/>
      <c r="L460" s="105">
        <f t="shared" si="7"/>
        <v>0</v>
      </c>
      <c r="M460" s="76"/>
    </row>
    <row r="461" spans="2:13">
      <c r="B461" s="125"/>
      <c r="C461" s="16"/>
      <c r="D461" s="31" t="s">
        <v>786</v>
      </c>
      <c r="E461" s="32" t="s">
        <v>679</v>
      </c>
      <c r="F461" s="13" t="b">
        <v>0</v>
      </c>
      <c r="G461" s="13" t="b">
        <v>0</v>
      </c>
      <c r="H461" s="13" t="b">
        <v>0</v>
      </c>
      <c r="I461" s="13" t="b">
        <v>0</v>
      </c>
      <c r="J461" s="13" t="b">
        <v>0</v>
      </c>
      <c r="K461" s="105"/>
      <c r="L461" s="105">
        <f t="shared" si="7"/>
        <v>0</v>
      </c>
      <c r="M461" s="105"/>
    </row>
    <row r="462" spans="2:13">
      <c r="B462" s="125"/>
      <c r="C462" s="16"/>
      <c r="D462" s="31" t="s">
        <v>787</v>
      </c>
      <c r="E462" s="32" t="s">
        <v>788</v>
      </c>
      <c r="F462" s="13" t="b">
        <v>0</v>
      </c>
      <c r="G462" s="13" t="b">
        <v>0</v>
      </c>
      <c r="H462" s="13" t="b">
        <v>0</v>
      </c>
      <c r="I462" s="13" t="b">
        <v>0</v>
      </c>
      <c r="J462" s="13" t="b">
        <v>0</v>
      </c>
      <c r="K462" s="76"/>
      <c r="L462" s="105">
        <f t="shared" si="7"/>
        <v>0</v>
      </c>
      <c r="M462" s="76"/>
    </row>
    <row r="463" spans="2:13">
      <c r="B463" s="125"/>
      <c r="C463" s="16"/>
      <c r="D463" s="31" t="s">
        <v>789</v>
      </c>
      <c r="E463" s="32" t="s">
        <v>790</v>
      </c>
      <c r="F463" s="13" t="b">
        <v>0</v>
      </c>
      <c r="G463" s="13" t="b">
        <v>0</v>
      </c>
      <c r="H463" s="13" t="b">
        <v>0</v>
      </c>
      <c r="I463" s="13" t="b">
        <v>0</v>
      </c>
      <c r="J463" s="13" t="b">
        <v>0</v>
      </c>
      <c r="K463" s="105"/>
      <c r="L463" s="105">
        <f t="shared" si="7"/>
        <v>0</v>
      </c>
      <c r="M463" s="105"/>
    </row>
    <row r="464" spans="2:13">
      <c r="B464" s="125"/>
      <c r="C464" s="16"/>
      <c r="D464" s="31" t="s">
        <v>791</v>
      </c>
      <c r="E464" s="32" t="s">
        <v>77</v>
      </c>
      <c r="F464" s="13" t="b">
        <v>0</v>
      </c>
      <c r="G464" s="13" t="b">
        <v>0</v>
      </c>
      <c r="H464" s="13" t="b">
        <v>0</v>
      </c>
      <c r="I464" s="13" t="b">
        <v>0</v>
      </c>
      <c r="J464" s="13" t="b">
        <v>0</v>
      </c>
      <c r="K464" s="76"/>
      <c r="L464" s="105">
        <f t="shared" si="7"/>
        <v>0</v>
      </c>
      <c r="M464" s="76"/>
    </row>
    <row r="465" spans="2:13" ht="24">
      <c r="B465" s="125"/>
      <c r="C465" s="16"/>
      <c r="D465" s="31" t="s">
        <v>792</v>
      </c>
      <c r="E465" s="32" t="s">
        <v>55</v>
      </c>
      <c r="F465" s="13" t="b">
        <v>0</v>
      </c>
      <c r="G465" s="13" t="b">
        <v>0</v>
      </c>
      <c r="H465" s="13" t="b">
        <v>0</v>
      </c>
      <c r="I465" s="13" t="b">
        <v>0</v>
      </c>
      <c r="J465" s="13" t="b">
        <v>0</v>
      </c>
      <c r="K465" s="105"/>
      <c r="L465" s="105">
        <f t="shared" si="7"/>
        <v>0</v>
      </c>
      <c r="M465" s="105"/>
    </row>
    <row r="466" spans="2:13">
      <c r="B466" s="125"/>
      <c r="C466" s="16"/>
      <c r="D466" s="31" t="s">
        <v>793</v>
      </c>
      <c r="E466" s="32" t="s">
        <v>58</v>
      </c>
      <c r="F466" s="13" t="b">
        <v>0</v>
      </c>
      <c r="G466" s="13" t="b">
        <v>0</v>
      </c>
      <c r="H466" s="13" t="b">
        <v>0</v>
      </c>
      <c r="I466" s="13" t="b">
        <v>0</v>
      </c>
      <c r="J466" s="13" t="b">
        <v>0</v>
      </c>
      <c r="K466" s="76"/>
      <c r="L466" s="105">
        <f t="shared" si="7"/>
        <v>0</v>
      </c>
      <c r="M466" s="76"/>
    </row>
    <row r="467" spans="2:13">
      <c r="B467" s="125"/>
      <c r="C467" s="16"/>
      <c r="D467" s="31" t="s">
        <v>794</v>
      </c>
      <c r="E467" s="32" t="s">
        <v>93</v>
      </c>
      <c r="F467" s="13" t="b">
        <v>0</v>
      </c>
      <c r="G467" s="13" t="b">
        <v>0</v>
      </c>
      <c r="H467" s="13" t="b">
        <v>0</v>
      </c>
      <c r="I467" s="13" t="b">
        <v>0</v>
      </c>
      <c r="J467" s="13" t="b">
        <v>0</v>
      </c>
      <c r="K467" s="105"/>
      <c r="L467" s="105">
        <f t="shared" si="7"/>
        <v>0</v>
      </c>
      <c r="M467" s="105"/>
    </row>
    <row r="468" spans="2:13">
      <c r="B468" s="125"/>
      <c r="C468" s="16"/>
      <c r="D468" s="31" t="s">
        <v>795</v>
      </c>
      <c r="E468" s="32" t="s">
        <v>58</v>
      </c>
      <c r="F468" s="13" t="b">
        <v>0</v>
      </c>
      <c r="G468" s="13" t="b">
        <v>0</v>
      </c>
      <c r="H468" s="13" t="b">
        <v>0</v>
      </c>
      <c r="I468" s="13" t="b">
        <v>0</v>
      </c>
      <c r="J468" s="13" t="b">
        <v>0</v>
      </c>
      <c r="K468" s="76"/>
      <c r="L468" s="105">
        <f t="shared" si="7"/>
        <v>0</v>
      </c>
      <c r="M468" s="76"/>
    </row>
    <row r="469" spans="2:13">
      <c r="B469" s="125"/>
      <c r="C469" s="16"/>
      <c r="D469" s="31" t="s">
        <v>796</v>
      </c>
      <c r="E469" s="32" t="s">
        <v>154</v>
      </c>
      <c r="F469" s="13" t="b">
        <v>0</v>
      </c>
      <c r="G469" s="13" t="b">
        <v>0</v>
      </c>
      <c r="H469" s="13" t="b">
        <v>0</v>
      </c>
      <c r="I469" s="13" t="b">
        <v>0</v>
      </c>
      <c r="J469" s="13" t="b">
        <v>0</v>
      </c>
      <c r="K469" s="105"/>
      <c r="L469" s="105">
        <f t="shared" si="7"/>
        <v>0</v>
      </c>
      <c r="M469" s="105"/>
    </row>
    <row r="470" spans="2:13">
      <c r="B470" s="125"/>
      <c r="C470" s="16"/>
      <c r="D470" s="31" t="s">
        <v>797</v>
      </c>
      <c r="E470" s="32" t="s">
        <v>58</v>
      </c>
      <c r="F470" s="13" t="b">
        <v>0</v>
      </c>
      <c r="G470" s="13" t="b">
        <v>0</v>
      </c>
      <c r="H470" s="13" t="b">
        <v>0</v>
      </c>
      <c r="I470" s="13" t="b">
        <v>0</v>
      </c>
      <c r="J470" s="13" t="b">
        <v>0</v>
      </c>
      <c r="K470" s="76"/>
      <c r="L470" s="105">
        <f t="shared" si="7"/>
        <v>0</v>
      </c>
      <c r="M470" s="76"/>
    </row>
    <row r="471" spans="2:13">
      <c r="B471" s="125"/>
      <c r="C471" s="16"/>
      <c r="D471" s="31" t="s">
        <v>798</v>
      </c>
      <c r="E471" s="32" t="s">
        <v>65</v>
      </c>
      <c r="F471" s="13" t="b">
        <v>0</v>
      </c>
      <c r="G471" s="13" t="b">
        <v>0</v>
      </c>
      <c r="H471" s="13" t="b">
        <v>0</v>
      </c>
      <c r="I471" s="13" t="b">
        <v>0</v>
      </c>
      <c r="J471" s="13" t="b">
        <v>0</v>
      </c>
      <c r="K471" s="105"/>
      <c r="L471" s="105">
        <f t="shared" si="7"/>
        <v>0</v>
      </c>
      <c r="M471" s="105"/>
    </row>
    <row r="472" spans="2:13">
      <c r="B472" s="125"/>
      <c r="C472" s="16"/>
      <c r="D472" s="31" t="s">
        <v>799</v>
      </c>
      <c r="E472" s="32" t="s">
        <v>65</v>
      </c>
      <c r="F472" s="13" t="b">
        <v>0</v>
      </c>
      <c r="G472" s="13" t="b">
        <v>0</v>
      </c>
      <c r="H472" s="13" t="b">
        <v>0</v>
      </c>
      <c r="I472" s="13" t="b">
        <v>0</v>
      </c>
      <c r="J472" s="13" t="b">
        <v>0</v>
      </c>
      <c r="K472" s="76"/>
      <c r="L472" s="105">
        <f t="shared" si="7"/>
        <v>0</v>
      </c>
      <c r="M472" s="76"/>
    </row>
    <row r="473" spans="2:13">
      <c r="B473" s="125"/>
      <c r="C473" s="16"/>
      <c r="D473" s="31" t="s">
        <v>800</v>
      </c>
      <c r="E473" s="32" t="s">
        <v>90</v>
      </c>
      <c r="F473" s="13" t="b">
        <v>0</v>
      </c>
      <c r="G473" s="13" t="b">
        <v>0</v>
      </c>
      <c r="H473" s="13" t="b">
        <v>0</v>
      </c>
      <c r="I473" s="13" t="b">
        <v>0</v>
      </c>
      <c r="J473" s="13" t="b">
        <v>0</v>
      </c>
      <c r="K473" s="105"/>
      <c r="L473" s="105">
        <f t="shared" si="7"/>
        <v>0</v>
      </c>
      <c r="M473" s="105"/>
    </row>
    <row r="474" spans="2:13">
      <c r="B474" s="125"/>
      <c r="C474" s="16"/>
      <c r="D474" s="31" t="s">
        <v>801</v>
      </c>
      <c r="E474" s="32" t="s">
        <v>50</v>
      </c>
      <c r="F474" s="13" t="b">
        <v>0</v>
      </c>
      <c r="G474" s="13" t="b">
        <v>0</v>
      </c>
      <c r="H474" s="13" t="b">
        <v>0</v>
      </c>
      <c r="I474" s="13" t="b">
        <v>0</v>
      </c>
      <c r="J474" s="13" t="b">
        <v>0</v>
      </c>
      <c r="K474" s="76"/>
      <c r="L474" s="105">
        <f t="shared" si="7"/>
        <v>0</v>
      </c>
      <c r="M474" s="76"/>
    </row>
    <row r="475" spans="2:13" ht="24">
      <c r="B475" s="125"/>
      <c r="C475" s="16"/>
      <c r="D475" s="31" t="s">
        <v>802</v>
      </c>
      <c r="E475" s="32" t="s">
        <v>61</v>
      </c>
      <c r="F475" s="13" t="b">
        <v>0</v>
      </c>
      <c r="G475" s="13" t="b">
        <v>0</v>
      </c>
      <c r="H475" s="13" t="b">
        <v>0</v>
      </c>
      <c r="I475" s="13" t="b">
        <v>0</v>
      </c>
      <c r="J475" s="13" t="b">
        <v>0</v>
      </c>
      <c r="K475" s="105"/>
      <c r="L475" s="105">
        <f t="shared" si="7"/>
        <v>0</v>
      </c>
      <c r="M475" s="105"/>
    </row>
    <row r="476" spans="2:13">
      <c r="B476" s="125"/>
      <c r="C476" s="16"/>
      <c r="D476" s="31" t="s">
        <v>803</v>
      </c>
      <c r="E476" s="32" t="s">
        <v>83</v>
      </c>
      <c r="F476" s="13" t="b">
        <v>0</v>
      </c>
      <c r="G476" s="13" t="b">
        <v>0</v>
      </c>
      <c r="H476" s="13" t="b">
        <v>0</v>
      </c>
      <c r="I476" s="13" t="b">
        <v>0</v>
      </c>
      <c r="J476" s="13" t="b">
        <v>0</v>
      </c>
      <c r="K476" s="76"/>
      <c r="L476" s="105">
        <f t="shared" si="7"/>
        <v>0</v>
      </c>
      <c r="M476" s="76"/>
    </row>
    <row r="477" spans="2:13">
      <c r="B477" s="125"/>
      <c r="C477" s="16"/>
      <c r="D477" s="31" t="s">
        <v>804</v>
      </c>
      <c r="E477" s="32" t="s">
        <v>50</v>
      </c>
      <c r="F477" s="13" t="b">
        <v>0</v>
      </c>
      <c r="G477" s="13" t="b">
        <v>0</v>
      </c>
      <c r="H477" s="13" t="b">
        <v>0</v>
      </c>
      <c r="I477" s="13" t="b">
        <v>0</v>
      </c>
      <c r="J477" s="13" t="b">
        <v>0</v>
      </c>
      <c r="K477" s="105"/>
      <c r="L477" s="105">
        <f t="shared" si="7"/>
        <v>0</v>
      </c>
      <c r="M477" s="105"/>
    </row>
    <row r="478" spans="2:13">
      <c r="B478" s="125"/>
      <c r="C478" s="16"/>
      <c r="D478" s="31" t="s">
        <v>805</v>
      </c>
      <c r="E478" s="32" t="s">
        <v>90</v>
      </c>
      <c r="F478" s="13" t="b">
        <v>0</v>
      </c>
      <c r="G478" s="13" t="b">
        <v>0</v>
      </c>
      <c r="H478" s="13" t="b">
        <v>0</v>
      </c>
      <c r="I478" s="13" t="b">
        <v>0</v>
      </c>
      <c r="J478" s="13" t="b">
        <v>0</v>
      </c>
      <c r="K478" s="76"/>
      <c r="L478" s="105">
        <f t="shared" si="7"/>
        <v>0</v>
      </c>
      <c r="M478" s="76"/>
    </row>
    <row r="479" spans="2:13">
      <c r="B479" s="125"/>
      <c r="C479" s="16"/>
      <c r="D479" s="31" t="s">
        <v>806</v>
      </c>
      <c r="E479" s="32" t="s">
        <v>58</v>
      </c>
      <c r="F479" s="13" t="b">
        <v>0</v>
      </c>
      <c r="G479" s="13" t="b">
        <v>0</v>
      </c>
      <c r="H479" s="13" t="b">
        <v>0</v>
      </c>
      <c r="I479" s="13" t="b">
        <v>0</v>
      </c>
      <c r="J479" s="13" t="b">
        <v>0</v>
      </c>
      <c r="K479" s="105"/>
      <c r="L479" s="105">
        <f t="shared" si="7"/>
        <v>0</v>
      </c>
      <c r="M479" s="105"/>
    </row>
    <row r="480" spans="2:13">
      <c r="B480" s="125"/>
      <c r="C480" s="16"/>
      <c r="D480" s="31" t="s">
        <v>807</v>
      </c>
      <c r="E480" s="32" t="s">
        <v>65</v>
      </c>
      <c r="F480" s="13" t="b">
        <v>0</v>
      </c>
      <c r="G480" s="13" t="b">
        <v>0</v>
      </c>
      <c r="H480" s="13" t="b">
        <v>0</v>
      </c>
      <c r="I480" s="13" t="b">
        <v>0</v>
      </c>
      <c r="J480" s="13" t="b">
        <v>0</v>
      </c>
      <c r="K480" s="76"/>
      <c r="L480" s="105">
        <f t="shared" si="7"/>
        <v>0</v>
      </c>
      <c r="M480" s="76"/>
    </row>
    <row r="481" spans="2:13">
      <c r="B481" s="125"/>
      <c r="C481" s="16"/>
      <c r="D481" s="31" t="s">
        <v>808</v>
      </c>
      <c r="E481" s="32" t="s">
        <v>90</v>
      </c>
      <c r="F481" s="13" t="b">
        <v>0</v>
      </c>
      <c r="G481" s="13" t="b">
        <v>0</v>
      </c>
      <c r="H481" s="13" t="b">
        <v>0</v>
      </c>
      <c r="I481" s="13" t="b">
        <v>0</v>
      </c>
      <c r="J481" s="13" t="b">
        <v>0</v>
      </c>
      <c r="K481" s="105"/>
      <c r="L481" s="105">
        <f t="shared" si="7"/>
        <v>0</v>
      </c>
      <c r="M481" s="105"/>
    </row>
    <row r="482" spans="2:13">
      <c r="B482" s="125"/>
      <c r="C482" s="16"/>
      <c r="D482" s="31" t="s">
        <v>809</v>
      </c>
      <c r="E482" s="32" t="s">
        <v>810</v>
      </c>
      <c r="F482" s="13" t="b">
        <v>0</v>
      </c>
      <c r="G482" s="13" t="b">
        <v>0</v>
      </c>
      <c r="H482" s="13" t="b">
        <v>0</v>
      </c>
      <c r="I482" s="13" t="b">
        <v>0</v>
      </c>
      <c r="J482" s="13" t="b">
        <v>0</v>
      </c>
      <c r="K482" s="76"/>
      <c r="L482" s="105">
        <f t="shared" si="7"/>
        <v>0</v>
      </c>
      <c r="M482" s="76"/>
    </row>
    <row r="483" spans="2:13">
      <c r="B483" s="125"/>
      <c r="C483" s="16"/>
      <c r="D483" s="31" t="s">
        <v>811</v>
      </c>
      <c r="E483" s="32" t="s">
        <v>812</v>
      </c>
      <c r="F483" s="13" t="b">
        <v>0</v>
      </c>
      <c r="G483" s="13" t="b">
        <v>0</v>
      </c>
      <c r="H483" s="13" t="b">
        <v>0</v>
      </c>
      <c r="I483" s="13" t="b">
        <v>0</v>
      </c>
      <c r="J483" s="13" t="b">
        <v>0</v>
      </c>
      <c r="K483" s="105"/>
      <c r="L483" s="105">
        <f t="shared" si="7"/>
        <v>0</v>
      </c>
      <c r="M483" s="105"/>
    </row>
    <row r="484" spans="2:13">
      <c r="B484" s="125"/>
      <c r="C484" s="16"/>
      <c r="D484" s="31" t="s">
        <v>813</v>
      </c>
      <c r="E484" s="32" t="s">
        <v>58</v>
      </c>
      <c r="F484" s="13" t="b">
        <v>0</v>
      </c>
      <c r="G484" s="13" t="b">
        <v>0</v>
      </c>
      <c r="H484" s="13" t="b">
        <v>0</v>
      </c>
      <c r="I484" s="13" t="b">
        <v>0</v>
      </c>
      <c r="J484" s="13" t="b">
        <v>0</v>
      </c>
      <c r="K484" s="76"/>
      <c r="L484" s="105">
        <f t="shared" si="7"/>
        <v>0</v>
      </c>
      <c r="M484" s="76"/>
    </row>
    <row r="485" spans="2:13">
      <c r="B485" s="125"/>
      <c r="C485" s="16"/>
      <c r="D485" s="31" t="s">
        <v>814</v>
      </c>
      <c r="E485" s="32" t="s">
        <v>812</v>
      </c>
      <c r="F485" s="13" t="b">
        <v>0</v>
      </c>
      <c r="G485" s="13" t="b">
        <v>0</v>
      </c>
      <c r="H485" s="13" t="b">
        <v>0</v>
      </c>
      <c r="I485" s="13" t="b">
        <v>0</v>
      </c>
      <c r="J485" s="13" t="b">
        <v>0</v>
      </c>
      <c r="K485" s="105"/>
      <c r="L485" s="105">
        <f t="shared" si="7"/>
        <v>0</v>
      </c>
      <c r="M485" s="105"/>
    </row>
    <row r="486" spans="2:13">
      <c r="B486" s="125"/>
      <c r="C486" s="16"/>
      <c r="D486" s="31" t="s">
        <v>815</v>
      </c>
      <c r="E486" s="32" t="s">
        <v>65</v>
      </c>
      <c r="F486" s="13" t="b">
        <v>0</v>
      </c>
      <c r="G486" s="13" t="b">
        <v>0</v>
      </c>
      <c r="H486" s="13" t="b">
        <v>0</v>
      </c>
      <c r="I486" s="13" t="b">
        <v>0</v>
      </c>
      <c r="J486" s="13" t="b">
        <v>0</v>
      </c>
      <c r="K486" s="76"/>
      <c r="L486" s="105">
        <f t="shared" si="7"/>
        <v>0</v>
      </c>
      <c r="M486" s="76"/>
    </row>
    <row r="487" spans="2:13">
      <c r="B487" s="125"/>
      <c r="C487" s="16"/>
      <c r="D487" s="31" t="s">
        <v>816</v>
      </c>
      <c r="E487" s="32" t="s">
        <v>98</v>
      </c>
      <c r="F487" s="13" t="b">
        <v>0</v>
      </c>
      <c r="G487" s="13" t="b">
        <v>0</v>
      </c>
      <c r="H487" s="13" t="b">
        <v>0</v>
      </c>
      <c r="I487" s="13" t="b">
        <v>0</v>
      </c>
      <c r="J487" s="13" t="b">
        <v>0</v>
      </c>
      <c r="K487" s="105"/>
      <c r="L487" s="105">
        <f t="shared" si="7"/>
        <v>0</v>
      </c>
      <c r="M487" s="105"/>
    </row>
    <row r="488" spans="2:13">
      <c r="B488" s="125"/>
      <c r="C488" s="16"/>
      <c r="D488" s="31" t="s">
        <v>817</v>
      </c>
      <c r="E488" s="32" t="s">
        <v>83</v>
      </c>
      <c r="F488" s="13" t="b">
        <v>0</v>
      </c>
      <c r="G488" s="13" t="b">
        <v>0</v>
      </c>
      <c r="H488" s="13" t="b">
        <v>0</v>
      </c>
      <c r="I488" s="13" t="b">
        <v>0</v>
      </c>
      <c r="J488" s="13" t="b">
        <v>0</v>
      </c>
      <c r="K488" s="76"/>
      <c r="L488" s="105">
        <f t="shared" si="7"/>
        <v>0</v>
      </c>
      <c r="M488" s="76"/>
    </row>
    <row r="489" spans="2:13">
      <c r="B489" s="125"/>
      <c r="C489" s="16"/>
      <c r="D489" s="31" t="s">
        <v>818</v>
      </c>
      <c r="E489" s="32" t="s">
        <v>93</v>
      </c>
      <c r="F489" s="13" t="b">
        <v>0</v>
      </c>
      <c r="G489" s="13" t="b">
        <v>0</v>
      </c>
      <c r="H489" s="13" t="b">
        <v>0</v>
      </c>
      <c r="I489" s="13" t="b">
        <v>0</v>
      </c>
      <c r="J489" s="13" t="b">
        <v>0</v>
      </c>
      <c r="K489" s="105"/>
      <c r="L489" s="105">
        <f t="shared" si="7"/>
        <v>0</v>
      </c>
      <c r="M489" s="105"/>
    </row>
    <row r="490" spans="2:13">
      <c r="B490" s="125"/>
      <c r="C490" s="16"/>
      <c r="D490" s="31" t="s">
        <v>819</v>
      </c>
      <c r="E490" s="32" t="s">
        <v>80</v>
      </c>
      <c r="F490" s="13" t="b">
        <v>0</v>
      </c>
      <c r="G490" s="13" t="b">
        <v>0</v>
      </c>
      <c r="H490" s="13" t="b">
        <v>0</v>
      </c>
      <c r="I490" s="13" t="b">
        <v>0</v>
      </c>
      <c r="J490" s="13" t="b">
        <v>0</v>
      </c>
      <c r="K490" s="76"/>
      <c r="L490" s="105">
        <f t="shared" si="7"/>
        <v>0</v>
      </c>
      <c r="M490" s="76"/>
    </row>
    <row r="491" spans="2:13">
      <c r="B491" s="125"/>
      <c r="C491" s="16"/>
      <c r="D491" s="31" t="s">
        <v>820</v>
      </c>
      <c r="E491" s="32" t="s">
        <v>790</v>
      </c>
      <c r="F491" s="13" t="b">
        <v>0</v>
      </c>
      <c r="G491" s="13" t="b">
        <v>0</v>
      </c>
      <c r="H491" s="13" t="b">
        <v>0</v>
      </c>
      <c r="I491" s="13" t="b">
        <v>0</v>
      </c>
      <c r="J491" s="13" t="b">
        <v>0</v>
      </c>
      <c r="K491" s="105"/>
      <c r="L491" s="105">
        <f t="shared" si="7"/>
        <v>0</v>
      </c>
      <c r="M491" s="105"/>
    </row>
    <row r="492" spans="2:13">
      <c r="B492" s="125"/>
      <c r="C492" s="16"/>
      <c r="D492" s="31" t="s">
        <v>820</v>
      </c>
      <c r="E492" s="32" t="s">
        <v>790</v>
      </c>
      <c r="F492" s="13" t="b">
        <v>0</v>
      </c>
      <c r="G492" s="13" t="b">
        <v>0</v>
      </c>
      <c r="H492" s="13" t="b">
        <v>0</v>
      </c>
      <c r="I492" s="13" t="b">
        <v>0</v>
      </c>
      <c r="J492" s="13" t="b">
        <v>0</v>
      </c>
      <c r="K492" s="76"/>
      <c r="L492" s="105">
        <f t="shared" si="7"/>
        <v>0</v>
      </c>
      <c r="M492" s="76"/>
    </row>
    <row r="493" spans="2:13">
      <c r="B493" s="125"/>
      <c r="C493" s="16"/>
      <c r="D493" s="31" t="s">
        <v>821</v>
      </c>
      <c r="E493" s="32" t="s">
        <v>173</v>
      </c>
      <c r="F493" s="13" t="b">
        <v>0</v>
      </c>
      <c r="G493" s="13" t="b">
        <v>0</v>
      </c>
      <c r="H493" s="13" t="b">
        <v>0</v>
      </c>
      <c r="I493" s="13" t="b">
        <v>0</v>
      </c>
      <c r="J493" s="13" t="b">
        <v>0</v>
      </c>
      <c r="K493" s="105"/>
      <c r="L493" s="105">
        <f t="shared" si="7"/>
        <v>0</v>
      </c>
      <c r="M493" s="105"/>
    </row>
    <row r="494" spans="2:13">
      <c r="B494" s="125"/>
      <c r="C494" s="16"/>
      <c r="D494" s="31" t="s">
        <v>822</v>
      </c>
      <c r="E494" s="32" t="s">
        <v>169</v>
      </c>
      <c r="F494" s="13" t="b">
        <v>0</v>
      </c>
      <c r="G494" s="13" t="b">
        <v>0</v>
      </c>
      <c r="H494" s="13" t="b">
        <v>0</v>
      </c>
      <c r="I494" s="13" t="b">
        <v>0</v>
      </c>
      <c r="J494" s="13" t="b">
        <v>0</v>
      </c>
      <c r="K494" s="76"/>
      <c r="L494" s="105">
        <f t="shared" si="7"/>
        <v>0</v>
      </c>
      <c r="M494" s="76"/>
    </row>
    <row r="495" spans="2:13">
      <c r="B495" s="125"/>
      <c r="C495" s="16"/>
      <c r="D495" s="31" t="s">
        <v>823</v>
      </c>
      <c r="E495" s="32" t="s">
        <v>74</v>
      </c>
      <c r="F495" s="13" t="b">
        <v>0</v>
      </c>
      <c r="G495" s="13" t="b">
        <v>0</v>
      </c>
      <c r="H495" s="13" t="b">
        <v>0</v>
      </c>
      <c r="I495" s="13" t="b">
        <v>0</v>
      </c>
      <c r="J495" s="13" t="b">
        <v>0</v>
      </c>
      <c r="K495" s="105"/>
      <c r="L495" s="105">
        <f t="shared" si="7"/>
        <v>0</v>
      </c>
      <c r="M495" s="105"/>
    </row>
    <row r="496" spans="2:13">
      <c r="B496" s="125"/>
      <c r="C496" s="16"/>
      <c r="D496" s="31" t="s">
        <v>824</v>
      </c>
      <c r="E496" s="32" t="s">
        <v>825</v>
      </c>
      <c r="F496" s="13" t="b">
        <v>0</v>
      </c>
      <c r="G496" s="13" t="b">
        <v>0</v>
      </c>
      <c r="H496" s="13" t="b">
        <v>0</v>
      </c>
      <c r="I496" s="13" t="b">
        <v>0</v>
      </c>
      <c r="J496" s="13" t="b">
        <v>0</v>
      </c>
      <c r="K496" s="76"/>
      <c r="L496" s="105">
        <f t="shared" si="7"/>
        <v>0</v>
      </c>
      <c r="M496" s="76"/>
    </row>
    <row r="497" spans="2:13">
      <c r="B497" s="125"/>
      <c r="C497" s="16"/>
      <c r="D497" s="31" t="s">
        <v>826</v>
      </c>
      <c r="E497" s="32" t="s">
        <v>77</v>
      </c>
      <c r="F497" s="13" t="b">
        <v>0</v>
      </c>
      <c r="G497" s="13" t="b">
        <v>0</v>
      </c>
      <c r="H497" s="13" t="b">
        <v>0</v>
      </c>
      <c r="I497" s="13" t="b">
        <v>0</v>
      </c>
      <c r="J497" s="13" t="b">
        <v>0</v>
      </c>
      <c r="K497" s="105"/>
      <c r="L497" s="105">
        <f t="shared" si="7"/>
        <v>0</v>
      </c>
      <c r="M497" s="105"/>
    </row>
    <row r="498" spans="2:13">
      <c r="B498" s="125"/>
      <c r="C498" s="16"/>
      <c r="D498" s="31" t="s">
        <v>827</v>
      </c>
      <c r="E498" s="32" t="s">
        <v>828</v>
      </c>
      <c r="F498" s="13" t="b">
        <v>0</v>
      </c>
      <c r="G498" s="13" t="b">
        <v>0</v>
      </c>
      <c r="H498" s="13" t="b">
        <v>0</v>
      </c>
      <c r="I498" s="13" t="b">
        <v>0</v>
      </c>
      <c r="J498" s="13" t="b">
        <v>0</v>
      </c>
      <c r="K498" s="76"/>
      <c r="L498" s="105">
        <f t="shared" si="7"/>
        <v>0</v>
      </c>
      <c r="M498" s="76"/>
    </row>
    <row r="499" spans="2:13">
      <c r="B499" s="125"/>
      <c r="C499" s="16"/>
      <c r="D499" s="31" t="s">
        <v>829</v>
      </c>
      <c r="E499" s="32" t="s">
        <v>165</v>
      </c>
      <c r="F499" s="13" t="b">
        <v>0</v>
      </c>
      <c r="G499" s="13" t="b">
        <v>0</v>
      </c>
      <c r="H499" s="13" t="b">
        <v>0</v>
      </c>
      <c r="I499" s="13" t="b">
        <v>0</v>
      </c>
      <c r="J499" s="13" t="b">
        <v>0</v>
      </c>
      <c r="K499" s="105"/>
      <c r="L499" s="105">
        <f t="shared" si="7"/>
        <v>0</v>
      </c>
      <c r="M499" s="105"/>
    </row>
    <row r="500" spans="2:13">
      <c r="B500" s="125"/>
      <c r="C500" s="16"/>
      <c r="D500" s="31" t="s">
        <v>830</v>
      </c>
      <c r="E500" s="32" t="s">
        <v>177</v>
      </c>
      <c r="F500" s="13" t="b">
        <v>0</v>
      </c>
      <c r="G500" s="13" t="b">
        <v>0</v>
      </c>
      <c r="H500" s="13" t="b">
        <v>0</v>
      </c>
      <c r="I500" s="13" t="b">
        <v>0</v>
      </c>
      <c r="J500" s="13" t="b">
        <v>0</v>
      </c>
      <c r="K500" s="76"/>
      <c r="L500" s="105">
        <f t="shared" si="7"/>
        <v>0</v>
      </c>
      <c r="M500" s="76"/>
    </row>
    <row r="501" spans="2:13" ht="24">
      <c r="B501" s="125"/>
      <c r="C501" s="16"/>
      <c r="D501" s="31" t="s">
        <v>831</v>
      </c>
      <c r="E501" s="32" t="s">
        <v>832</v>
      </c>
      <c r="F501" s="13" t="b">
        <v>0</v>
      </c>
      <c r="G501" s="13" t="b">
        <v>0</v>
      </c>
      <c r="H501" s="13" t="b">
        <v>0</v>
      </c>
      <c r="I501" s="13" t="b">
        <v>0</v>
      </c>
      <c r="J501" s="13" t="b">
        <v>0</v>
      </c>
      <c r="K501" s="105"/>
      <c r="L501" s="105">
        <f t="shared" si="7"/>
        <v>0</v>
      </c>
      <c r="M501" s="105"/>
    </row>
    <row r="502" spans="2:13">
      <c r="B502" s="125"/>
      <c r="C502" s="16"/>
      <c r="D502" s="31" t="s">
        <v>833</v>
      </c>
      <c r="E502" s="32" t="s">
        <v>783</v>
      </c>
      <c r="F502" s="13" t="b">
        <v>0</v>
      </c>
      <c r="G502" s="13" t="b">
        <v>0</v>
      </c>
      <c r="H502" s="13" t="b">
        <v>0</v>
      </c>
      <c r="I502" s="13" t="b">
        <v>0</v>
      </c>
      <c r="J502" s="13" t="b">
        <v>0</v>
      </c>
      <c r="K502" s="76"/>
      <c r="L502" s="105">
        <f t="shared" si="7"/>
        <v>0</v>
      </c>
      <c r="M502" s="76"/>
    </row>
    <row r="503" spans="2:13">
      <c r="B503" s="125"/>
      <c r="C503" s="16"/>
      <c r="D503" s="31" t="s">
        <v>834</v>
      </c>
      <c r="E503" s="32" t="s">
        <v>835</v>
      </c>
      <c r="F503" s="13" t="b">
        <v>0</v>
      </c>
      <c r="G503" s="13" t="b">
        <v>0</v>
      </c>
      <c r="H503" s="13" t="b">
        <v>0</v>
      </c>
      <c r="I503" s="13" t="b">
        <v>0</v>
      </c>
      <c r="J503" s="13" t="b">
        <v>0</v>
      </c>
      <c r="K503" s="105"/>
      <c r="L503" s="105">
        <f t="shared" si="7"/>
        <v>0</v>
      </c>
      <c r="M503" s="105"/>
    </row>
    <row r="504" spans="2:13">
      <c r="B504" s="125"/>
      <c r="C504" s="16"/>
      <c r="D504" s="31" t="s">
        <v>836</v>
      </c>
      <c r="E504" s="32" t="s">
        <v>837</v>
      </c>
      <c r="F504" s="13" t="b">
        <v>0</v>
      </c>
      <c r="G504" s="13" t="b">
        <v>0</v>
      </c>
      <c r="H504" s="13" t="b">
        <v>0</v>
      </c>
      <c r="I504" s="13" t="b">
        <v>0</v>
      </c>
      <c r="J504" s="13" t="b">
        <v>0</v>
      </c>
      <c r="K504" s="76"/>
      <c r="L504" s="105">
        <f t="shared" si="7"/>
        <v>0</v>
      </c>
      <c r="M504" s="76"/>
    </row>
    <row r="505" spans="2:13">
      <c r="B505" s="125"/>
      <c r="C505" s="16"/>
      <c r="D505" s="31" t="s">
        <v>838</v>
      </c>
      <c r="E505" s="32" t="s">
        <v>839</v>
      </c>
      <c r="F505" s="13" t="b">
        <v>0</v>
      </c>
      <c r="G505" s="13" t="b">
        <v>0</v>
      </c>
      <c r="H505" s="13" t="b">
        <v>0</v>
      </c>
      <c r="I505" s="13" t="b">
        <v>0</v>
      </c>
      <c r="J505" s="13" t="b">
        <v>0</v>
      </c>
      <c r="K505" s="105"/>
      <c r="L505" s="105">
        <f t="shared" si="7"/>
        <v>0</v>
      </c>
      <c r="M505" s="105"/>
    </row>
    <row r="506" spans="2:13">
      <c r="B506" s="125"/>
      <c r="C506" s="16"/>
      <c r="D506" s="31" t="s">
        <v>840</v>
      </c>
      <c r="E506" s="32" t="s">
        <v>841</v>
      </c>
      <c r="F506" s="13" t="b">
        <v>0</v>
      </c>
      <c r="G506" s="13" t="b">
        <v>0</v>
      </c>
      <c r="H506" s="13" t="b">
        <v>0</v>
      </c>
      <c r="I506" s="13" t="b">
        <v>0</v>
      </c>
      <c r="J506" s="13" t="b">
        <v>0</v>
      </c>
      <c r="K506" s="76"/>
      <c r="L506" s="105">
        <f t="shared" si="7"/>
        <v>0</v>
      </c>
      <c r="M506" s="76"/>
    </row>
    <row r="507" spans="2:13" ht="24">
      <c r="B507" s="125"/>
      <c r="C507" s="16"/>
      <c r="D507" s="31" t="s">
        <v>842</v>
      </c>
      <c r="E507" s="32" t="s">
        <v>843</v>
      </c>
      <c r="F507" s="13" t="b">
        <v>0</v>
      </c>
      <c r="G507" s="13" t="b">
        <v>0</v>
      </c>
      <c r="H507" s="13" t="b">
        <v>0</v>
      </c>
      <c r="I507" s="13" t="b">
        <v>0</v>
      </c>
      <c r="J507" s="13" t="b">
        <v>0</v>
      </c>
      <c r="K507" s="105"/>
      <c r="L507" s="105">
        <f t="shared" si="7"/>
        <v>0</v>
      </c>
      <c r="M507" s="105"/>
    </row>
    <row r="508" spans="2:13">
      <c r="B508" s="125"/>
      <c r="C508" s="16"/>
      <c r="D508" s="31" t="s">
        <v>844</v>
      </c>
      <c r="E508" s="32" t="s">
        <v>845</v>
      </c>
      <c r="F508" s="13" t="b">
        <v>0</v>
      </c>
      <c r="G508" s="13" t="b">
        <v>0</v>
      </c>
      <c r="H508" s="13" t="b">
        <v>0</v>
      </c>
      <c r="I508" s="13" t="b">
        <v>0</v>
      </c>
      <c r="J508" s="13" t="b">
        <v>0</v>
      </c>
      <c r="K508" s="76"/>
      <c r="L508" s="105">
        <f t="shared" si="7"/>
        <v>0</v>
      </c>
      <c r="M508" s="76"/>
    </row>
    <row r="509" spans="2:13">
      <c r="B509" s="125"/>
      <c r="C509" s="16"/>
      <c r="D509" s="31" t="s">
        <v>846</v>
      </c>
      <c r="E509" s="32" t="s">
        <v>847</v>
      </c>
      <c r="F509" s="13" t="b">
        <v>0</v>
      </c>
      <c r="G509" s="13" t="b">
        <v>0</v>
      </c>
      <c r="H509" s="13" t="b">
        <v>0</v>
      </c>
      <c r="I509" s="13" t="b">
        <v>0</v>
      </c>
      <c r="J509" s="13" t="b">
        <v>0</v>
      </c>
      <c r="K509" s="105"/>
      <c r="L509" s="105">
        <f t="shared" si="7"/>
        <v>0</v>
      </c>
      <c r="M509" s="105"/>
    </row>
    <row r="510" spans="2:13">
      <c r="B510" s="125"/>
      <c r="C510" s="16"/>
      <c r="D510" s="31" t="s">
        <v>848</v>
      </c>
      <c r="E510" s="32" t="s">
        <v>849</v>
      </c>
      <c r="F510" s="13" t="b">
        <v>0</v>
      </c>
      <c r="G510" s="13" t="b">
        <v>0</v>
      </c>
      <c r="H510" s="13" t="b">
        <v>0</v>
      </c>
      <c r="I510" s="13" t="b">
        <v>0</v>
      </c>
      <c r="J510" s="13" t="b">
        <v>0</v>
      </c>
      <c r="K510" s="76"/>
      <c r="L510" s="105">
        <f t="shared" si="7"/>
        <v>0</v>
      </c>
      <c r="M510" s="76"/>
    </row>
    <row r="511" spans="2:13">
      <c r="B511" s="125"/>
      <c r="C511" s="16"/>
      <c r="D511" s="31" t="s">
        <v>850</v>
      </c>
      <c r="E511" s="32" t="s">
        <v>851</v>
      </c>
      <c r="F511" s="13" t="b">
        <v>0</v>
      </c>
      <c r="G511" s="13" t="b">
        <v>0</v>
      </c>
      <c r="H511" s="13" t="b">
        <v>0</v>
      </c>
      <c r="I511" s="13" t="b">
        <v>0</v>
      </c>
      <c r="J511" s="13" t="b">
        <v>0</v>
      </c>
      <c r="K511" s="105"/>
      <c r="L511" s="105">
        <f t="shared" si="7"/>
        <v>0</v>
      </c>
      <c r="M511" s="105"/>
    </row>
    <row r="512" spans="2:13">
      <c r="B512" s="125"/>
      <c r="C512" s="16"/>
      <c r="D512" s="31" t="s">
        <v>852</v>
      </c>
      <c r="E512" s="32" t="s">
        <v>839</v>
      </c>
      <c r="F512" s="13" t="b">
        <v>0</v>
      </c>
      <c r="G512" s="13" t="b">
        <v>0</v>
      </c>
      <c r="H512" s="13" t="b">
        <v>0</v>
      </c>
      <c r="I512" s="13" t="b">
        <v>0</v>
      </c>
      <c r="J512" s="13" t="b">
        <v>0</v>
      </c>
      <c r="K512" s="76"/>
      <c r="L512" s="105">
        <f t="shared" si="7"/>
        <v>0</v>
      </c>
      <c r="M512" s="76"/>
    </row>
    <row r="513" spans="2:13">
      <c r="B513" s="125"/>
      <c r="C513" s="16"/>
      <c r="D513" s="31" t="s">
        <v>853</v>
      </c>
      <c r="E513" s="32" t="s">
        <v>845</v>
      </c>
      <c r="F513" s="13" t="b">
        <v>0</v>
      </c>
      <c r="G513" s="13" t="b">
        <v>0</v>
      </c>
      <c r="H513" s="13" t="b">
        <v>0</v>
      </c>
      <c r="I513" s="13" t="b">
        <v>0</v>
      </c>
      <c r="J513" s="13" t="b">
        <v>0</v>
      </c>
      <c r="K513" s="105"/>
      <c r="L513" s="105">
        <f t="shared" si="7"/>
        <v>0</v>
      </c>
      <c r="M513" s="105"/>
    </row>
    <row r="514" spans="2:13">
      <c r="B514" s="125"/>
      <c r="C514" s="16"/>
      <c r="D514" s="31" t="s">
        <v>854</v>
      </c>
      <c r="E514" s="32" t="s">
        <v>851</v>
      </c>
      <c r="F514" s="13" t="b">
        <v>0</v>
      </c>
      <c r="G514" s="13" t="b">
        <v>0</v>
      </c>
      <c r="H514" s="13" t="b">
        <v>0</v>
      </c>
      <c r="I514" s="13" t="b">
        <v>0</v>
      </c>
      <c r="J514" s="13" t="b">
        <v>0</v>
      </c>
      <c r="K514" s="12"/>
      <c r="L514" s="105">
        <f t="shared" si="7"/>
        <v>0</v>
      </c>
      <c r="M514" s="28"/>
    </row>
    <row r="515" spans="2:13">
      <c r="B515" s="125"/>
      <c r="C515" s="16"/>
      <c r="D515" s="31" t="s">
        <v>855</v>
      </c>
      <c r="E515" s="32" t="s">
        <v>841</v>
      </c>
      <c r="F515" s="13" t="b">
        <v>0</v>
      </c>
      <c r="G515" s="13" t="b">
        <v>0</v>
      </c>
      <c r="H515" s="13" t="b">
        <v>0</v>
      </c>
      <c r="I515" s="13" t="b">
        <v>0</v>
      </c>
      <c r="J515" s="13" t="b">
        <v>0</v>
      </c>
      <c r="K515" s="12"/>
      <c r="L515" s="105">
        <f t="shared" si="7"/>
        <v>0</v>
      </c>
      <c r="M515" s="28"/>
    </row>
    <row r="516" spans="2:13">
      <c r="B516" s="125"/>
      <c r="C516" s="16"/>
      <c r="D516" s="31" t="s">
        <v>856</v>
      </c>
      <c r="E516" s="32" t="s">
        <v>857</v>
      </c>
      <c r="F516" s="13" t="b">
        <v>0</v>
      </c>
      <c r="G516" s="13" t="b">
        <v>0</v>
      </c>
      <c r="H516" s="13" t="b">
        <v>0</v>
      </c>
      <c r="I516" s="13" t="b">
        <v>0</v>
      </c>
      <c r="J516" s="13" t="b">
        <v>0</v>
      </c>
      <c r="K516" s="12"/>
      <c r="L516" s="105">
        <f t="shared" si="7"/>
        <v>0</v>
      </c>
      <c r="M516" s="28"/>
    </row>
    <row r="517" spans="2:13">
      <c r="B517" s="125"/>
      <c r="C517" s="16"/>
      <c r="D517" s="31" t="s">
        <v>858</v>
      </c>
      <c r="E517" s="32" t="s">
        <v>839</v>
      </c>
      <c r="F517" s="13" t="b">
        <v>0</v>
      </c>
      <c r="G517" s="13" t="b">
        <v>0</v>
      </c>
      <c r="H517" s="13" t="b">
        <v>0</v>
      </c>
      <c r="I517" s="13" t="b">
        <v>0</v>
      </c>
      <c r="J517" s="13" t="b">
        <v>0</v>
      </c>
      <c r="K517" s="12"/>
      <c r="L517" s="105">
        <f t="shared" si="7"/>
        <v>0</v>
      </c>
      <c r="M517" s="28"/>
    </row>
    <row r="518" spans="2:13">
      <c r="B518" s="125"/>
      <c r="C518" s="16"/>
      <c r="D518" s="31" t="s">
        <v>859</v>
      </c>
      <c r="E518" s="32" t="s">
        <v>847</v>
      </c>
      <c r="F518" s="13" t="b">
        <v>0</v>
      </c>
      <c r="G518" s="13" t="b">
        <v>0</v>
      </c>
      <c r="H518" s="13" t="b">
        <v>0</v>
      </c>
      <c r="I518" s="13" t="b">
        <v>0</v>
      </c>
      <c r="J518" s="13" t="b">
        <v>0</v>
      </c>
      <c r="K518" s="12"/>
      <c r="L518" s="105">
        <f t="shared" si="7"/>
        <v>0</v>
      </c>
      <c r="M518" s="28"/>
    </row>
    <row r="519" spans="2:13">
      <c r="B519" s="125"/>
      <c r="C519" s="16"/>
      <c r="D519" s="31" t="s">
        <v>860</v>
      </c>
      <c r="E519" s="32" t="s">
        <v>849</v>
      </c>
      <c r="F519" s="13" t="b">
        <v>0</v>
      </c>
      <c r="G519" s="13" t="b">
        <v>0</v>
      </c>
      <c r="H519" s="13" t="b">
        <v>0</v>
      </c>
      <c r="I519" s="13" t="b">
        <v>0</v>
      </c>
      <c r="J519" s="13" t="b">
        <v>0</v>
      </c>
      <c r="K519" s="12"/>
      <c r="L519" s="105">
        <f t="shared" ref="L519:L582" si="8">K519-M519</f>
        <v>0</v>
      </c>
      <c r="M519" s="28"/>
    </row>
    <row r="520" spans="2:13">
      <c r="B520" s="125"/>
      <c r="C520" s="16"/>
      <c r="D520" s="31" t="s">
        <v>861</v>
      </c>
      <c r="E520" s="32" t="s">
        <v>851</v>
      </c>
      <c r="F520" s="13" t="b">
        <v>0</v>
      </c>
      <c r="G520" s="13" t="b">
        <v>0</v>
      </c>
      <c r="H520" s="13" t="b">
        <v>0</v>
      </c>
      <c r="I520" s="13" t="b">
        <v>0</v>
      </c>
      <c r="J520" s="13" t="b">
        <v>0</v>
      </c>
      <c r="K520" s="12"/>
      <c r="L520" s="105">
        <f t="shared" si="8"/>
        <v>0</v>
      </c>
      <c r="M520" s="28"/>
    </row>
    <row r="521" spans="2:13">
      <c r="B521" s="125"/>
      <c r="C521" s="16"/>
      <c r="D521" s="31" t="s">
        <v>862</v>
      </c>
      <c r="E521" s="32" t="s">
        <v>863</v>
      </c>
      <c r="F521" s="13" t="b">
        <v>0</v>
      </c>
      <c r="G521" s="13" t="b">
        <v>0</v>
      </c>
      <c r="H521" s="13" t="b">
        <v>0</v>
      </c>
      <c r="I521" s="13" t="b">
        <v>0</v>
      </c>
      <c r="J521" s="13" t="b">
        <v>0</v>
      </c>
      <c r="K521" s="12"/>
      <c r="L521" s="105">
        <f t="shared" si="8"/>
        <v>0</v>
      </c>
      <c r="M521" s="28"/>
    </row>
    <row r="522" spans="2:13" ht="24">
      <c r="B522" s="125"/>
      <c r="C522" s="16"/>
      <c r="D522" s="31" t="s">
        <v>864</v>
      </c>
      <c r="E522" s="32" t="s">
        <v>865</v>
      </c>
      <c r="F522" s="13" t="b">
        <v>0</v>
      </c>
      <c r="G522" s="13" t="b">
        <v>0</v>
      </c>
      <c r="H522" s="13" t="b">
        <v>0</v>
      </c>
      <c r="I522" s="13" t="b">
        <v>0</v>
      </c>
      <c r="J522" s="13" t="b">
        <v>0</v>
      </c>
      <c r="K522" s="12"/>
      <c r="L522" s="105">
        <f t="shared" si="8"/>
        <v>0</v>
      </c>
      <c r="M522" s="28"/>
    </row>
    <row r="523" spans="2:13">
      <c r="B523" s="125"/>
      <c r="C523" s="16"/>
      <c r="D523" s="31" t="s">
        <v>866</v>
      </c>
      <c r="E523" s="32" t="s">
        <v>399</v>
      </c>
      <c r="F523" s="13" t="b">
        <v>0</v>
      </c>
      <c r="G523" s="13" t="b">
        <v>0</v>
      </c>
      <c r="H523" s="13" t="b">
        <v>0</v>
      </c>
      <c r="I523" s="13" t="b">
        <v>0</v>
      </c>
      <c r="J523" s="13" t="b">
        <v>0</v>
      </c>
      <c r="K523" s="12"/>
      <c r="L523" s="105">
        <f t="shared" si="8"/>
        <v>0</v>
      </c>
      <c r="M523" s="28"/>
    </row>
    <row r="524" spans="2:13">
      <c r="B524" s="125"/>
      <c r="C524" s="16"/>
      <c r="D524" s="31" t="s">
        <v>867</v>
      </c>
      <c r="E524" s="32" t="s">
        <v>783</v>
      </c>
      <c r="F524" s="13" t="b">
        <v>0</v>
      </c>
      <c r="G524" s="13" t="b">
        <v>0</v>
      </c>
      <c r="H524" s="13" t="b">
        <v>0</v>
      </c>
      <c r="I524" s="13" t="b">
        <v>0</v>
      </c>
      <c r="J524" s="13" t="b">
        <v>0</v>
      </c>
      <c r="K524" s="12"/>
      <c r="L524" s="105">
        <f t="shared" si="8"/>
        <v>0</v>
      </c>
      <c r="M524" s="28"/>
    </row>
    <row r="525" spans="2:13">
      <c r="B525" s="125"/>
      <c r="C525" s="16"/>
      <c r="D525" s="31" t="s">
        <v>868</v>
      </c>
      <c r="E525" s="32" t="s">
        <v>71</v>
      </c>
      <c r="F525" s="13" t="b">
        <v>0</v>
      </c>
      <c r="G525" s="13" t="b">
        <v>0</v>
      </c>
      <c r="H525" s="13" t="b">
        <v>0</v>
      </c>
      <c r="I525" s="13" t="b">
        <v>0</v>
      </c>
      <c r="J525" s="13" t="b">
        <v>0</v>
      </c>
      <c r="K525" s="12"/>
      <c r="L525" s="105">
        <f t="shared" si="8"/>
        <v>0</v>
      </c>
      <c r="M525" s="28"/>
    </row>
    <row r="526" spans="2:13" ht="24">
      <c r="B526" s="125"/>
      <c r="C526" s="16"/>
      <c r="D526" s="31" t="s">
        <v>869</v>
      </c>
      <c r="E526" s="32" t="s">
        <v>870</v>
      </c>
      <c r="F526" s="13" t="b">
        <v>0</v>
      </c>
      <c r="G526" s="13" t="b">
        <v>0</v>
      </c>
      <c r="H526" s="13" t="b">
        <v>0</v>
      </c>
      <c r="I526" s="13" t="b">
        <v>0</v>
      </c>
      <c r="J526" s="13" t="b">
        <v>0</v>
      </c>
      <c r="K526" s="12"/>
      <c r="L526" s="105">
        <f t="shared" si="8"/>
        <v>0</v>
      </c>
      <c r="M526" s="28"/>
    </row>
    <row r="527" spans="2:13">
      <c r="B527" s="125"/>
      <c r="C527" s="16"/>
      <c r="D527" s="31" t="s">
        <v>871</v>
      </c>
      <c r="E527" s="32" t="s">
        <v>788</v>
      </c>
      <c r="F527" s="13" t="b">
        <v>0</v>
      </c>
      <c r="G527" s="13" t="b">
        <v>0</v>
      </c>
      <c r="H527" s="13" t="b">
        <v>0</v>
      </c>
      <c r="I527" s="13" t="b">
        <v>0</v>
      </c>
      <c r="J527" s="13" t="b">
        <v>0</v>
      </c>
      <c r="K527" s="12"/>
      <c r="L527" s="105">
        <f t="shared" si="8"/>
        <v>0</v>
      </c>
      <c r="M527" s="28"/>
    </row>
    <row r="528" spans="2:13">
      <c r="B528" s="125"/>
      <c r="C528" s="16"/>
      <c r="D528" s="31" t="s">
        <v>872</v>
      </c>
      <c r="E528" s="32" t="s">
        <v>71</v>
      </c>
      <c r="F528" s="13" t="b">
        <v>0</v>
      </c>
      <c r="G528" s="13" t="b">
        <v>0</v>
      </c>
      <c r="H528" s="13" t="b">
        <v>0</v>
      </c>
      <c r="I528" s="13" t="b">
        <v>0</v>
      </c>
      <c r="J528" s="13" t="b">
        <v>0</v>
      </c>
      <c r="K528" s="12"/>
      <c r="L528" s="105">
        <f t="shared" si="8"/>
        <v>0</v>
      </c>
      <c r="M528" s="28"/>
    </row>
    <row r="529" spans="2:13">
      <c r="B529" s="125"/>
      <c r="C529" s="16"/>
      <c r="D529" s="31" t="s">
        <v>873</v>
      </c>
      <c r="E529" s="32" t="s">
        <v>874</v>
      </c>
      <c r="F529" s="13" t="b">
        <v>0</v>
      </c>
      <c r="G529" s="13" t="b">
        <v>0</v>
      </c>
      <c r="H529" s="13" t="b">
        <v>0</v>
      </c>
      <c r="I529" s="13" t="b">
        <v>0</v>
      </c>
      <c r="J529" s="13" t="b">
        <v>0</v>
      </c>
      <c r="K529" s="12"/>
      <c r="L529" s="105">
        <f t="shared" si="8"/>
        <v>0</v>
      </c>
      <c r="M529" s="28"/>
    </row>
    <row r="530" spans="2:13">
      <c r="B530" s="125"/>
      <c r="C530" s="16"/>
      <c r="D530" s="31" t="s">
        <v>875</v>
      </c>
      <c r="E530" s="32" t="s">
        <v>876</v>
      </c>
      <c r="F530" s="13" t="b">
        <v>0</v>
      </c>
      <c r="G530" s="13" t="b">
        <v>0</v>
      </c>
      <c r="H530" s="13" t="b">
        <v>0</v>
      </c>
      <c r="I530" s="13" t="b">
        <v>0</v>
      </c>
      <c r="J530" s="13" t="b">
        <v>0</v>
      </c>
      <c r="K530" s="12"/>
      <c r="L530" s="105">
        <f t="shared" si="8"/>
        <v>0</v>
      </c>
      <c r="M530" s="28"/>
    </row>
    <row r="531" spans="2:13">
      <c r="B531" s="125"/>
      <c r="C531" s="16"/>
      <c r="D531" s="31" t="s">
        <v>877</v>
      </c>
      <c r="E531" s="32" t="s">
        <v>71</v>
      </c>
      <c r="F531" s="13" t="b">
        <v>0</v>
      </c>
      <c r="G531" s="13" t="b">
        <v>0</v>
      </c>
      <c r="H531" s="13" t="b">
        <v>0</v>
      </c>
      <c r="I531" s="13" t="b">
        <v>0</v>
      </c>
      <c r="J531" s="13" t="b">
        <v>0</v>
      </c>
      <c r="K531" s="12"/>
      <c r="L531" s="105">
        <f t="shared" si="8"/>
        <v>0</v>
      </c>
      <c r="M531" s="28"/>
    </row>
    <row r="532" spans="2:13">
      <c r="B532" s="125"/>
      <c r="C532" s="16"/>
      <c r="D532" s="31" t="s">
        <v>878</v>
      </c>
      <c r="E532" s="32" t="s">
        <v>863</v>
      </c>
      <c r="F532" s="13" t="b">
        <v>0</v>
      </c>
      <c r="G532" s="13" t="b">
        <v>0</v>
      </c>
      <c r="H532" s="13" t="b">
        <v>0</v>
      </c>
      <c r="I532" s="13" t="b">
        <v>0</v>
      </c>
      <c r="J532" s="13" t="b">
        <v>0</v>
      </c>
      <c r="K532" s="12"/>
      <c r="L532" s="105">
        <f t="shared" si="8"/>
        <v>0</v>
      </c>
      <c r="M532" s="28"/>
    </row>
    <row r="533" spans="2:13">
      <c r="B533" s="125"/>
      <c r="C533" s="16"/>
      <c r="D533" s="31" t="s">
        <v>879</v>
      </c>
      <c r="E533" s="32" t="s">
        <v>880</v>
      </c>
      <c r="F533" s="13" t="b">
        <v>0</v>
      </c>
      <c r="G533" s="13" t="b">
        <v>0</v>
      </c>
      <c r="H533" s="13" t="b">
        <v>0</v>
      </c>
      <c r="I533" s="13" t="b">
        <v>0</v>
      </c>
      <c r="J533" s="13" t="b">
        <v>0</v>
      </c>
      <c r="K533" s="12"/>
      <c r="L533" s="105">
        <f t="shared" si="8"/>
        <v>0</v>
      </c>
      <c r="M533" s="28"/>
    </row>
    <row r="534" spans="2:13">
      <c r="B534" s="125"/>
      <c r="C534" s="16"/>
      <c r="D534" s="31" t="s">
        <v>881</v>
      </c>
      <c r="E534" s="32" t="s">
        <v>882</v>
      </c>
      <c r="F534" s="13" t="b">
        <v>0</v>
      </c>
      <c r="G534" s="13" t="b">
        <v>0</v>
      </c>
      <c r="H534" s="13" t="b">
        <v>0</v>
      </c>
      <c r="I534" s="13" t="b">
        <v>0</v>
      </c>
      <c r="J534" s="13" t="b">
        <v>0</v>
      </c>
      <c r="K534" s="12"/>
      <c r="L534" s="105">
        <f t="shared" si="8"/>
        <v>0</v>
      </c>
      <c r="M534" s="28"/>
    </row>
    <row r="535" spans="2:13">
      <c r="B535" s="125"/>
      <c r="C535" s="16"/>
      <c r="D535" s="31" t="s">
        <v>883</v>
      </c>
      <c r="E535" s="32" t="s">
        <v>882</v>
      </c>
      <c r="F535" s="13" t="b">
        <v>0</v>
      </c>
      <c r="G535" s="13" t="b">
        <v>0</v>
      </c>
      <c r="H535" s="13" t="b">
        <v>0</v>
      </c>
      <c r="I535" s="13" t="b">
        <v>0</v>
      </c>
      <c r="J535" s="13" t="b">
        <v>0</v>
      </c>
      <c r="K535" s="12"/>
      <c r="L535" s="105">
        <f t="shared" si="8"/>
        <v>0</v>
      </c>
      <c r="M535" s="28"/>
    </row>
    <row r="536" spans="2:13">
      <c r="B536" s="125"/>
      <c r="C536" s="16"/>
      <c r="D536" s="31" t="s">
        <v>884</v>
      </c>
      <c r="E536" s="32" t="s">
        <v>885</v>
      </c>
      <c r="F536" s="13" t="b">
        <v>0</v>
      </c>
      <c r="G536" s="13" t="b">
        <v>0</v>
      </c>
      <c r="H536" s="13" t="b">
        <v>0</v>
      </c>
      <c r="I536" s="13" t="b">
        <v>0</v>
      </c>
      <c r="J536" s="13" t="b">
        <v>0</v>
      </c>
      <c r="K536" s="12"/>
      <c r="L536" s="105">
        <f t="shared" si="8"/>
        <v>0</v>
      </c>
      <c r="M536" s="28"/>
    </row>
    <row r="537" spans="2:13">
      <c r="B537" s="125"/>
      <c r="C537" s="16"/>
      <c r="D537" s="31" t="s">
        <v>886</v>
      </c>
      <c r="E537" s="32" t="s">
        <v>887</v>
      </c>
      <c r="F537" s="13" t="b">
        <v>0</v>
      </c>
      <c r="G537" s="13" t="b">
        <v>0</v>
      </c>
      <c r="H537" s="13" t="b">
        <v>0</v>
      </c>
      <c r="I537" s="13" t="b">
        <v>0</v>
      </c>
      <c r="J537" s="13" t="b">
        <v>0</v>
      </c>
      <c r="K537" s="12"/>
      <c r="L537" s="105">
        <f t="shared" si="8"/>
        <v>0</v>
      </c>
      <c r="M537" s="28"/>
    </row>
    <row r="538" spans="2:13">
      <c r="B538" s="125"/>
      <c r="C538" s="16"/>
      <c r="D538" s="31" t="s">
        <v>888</v>
      </c>
      <c r="E538" s="32" t="s">
        <v>889</v>
      </c>
      <c r="F538" s="13" t="b">
        <v>0</v>
      </c>
      <c r="G538" s="13" t="b">
        <v>0</v>
      </c>
      <c r="H538" s="13" t="b">
        <v>0</v>
      </c>
      <c r="I538" s="13" t="b">
        <v>0</v>
      </c>
      <c r="J538" s="13" t="b">
        <v>0</v>
      </c>
      <c r="K538" s="12"/>
      <c r="L538" s="105">
        <f t="shared" si="8"/>
        <v>0</v>
      </c>
      <c r="M538" s="28"/>
    </row>
    <row r="539" spans="2:13">
      <c r="B539" s="125"/>
      <c r="C539" s="16"/>
      <c r="D539" s="31" t="s">
        <v>890</v>
      </c>
      <c r="E539" s="32" t="s">
        <v>679</v>
      </c>
      <c r="F539" s="13" t="b">
        <v>0</v>
      </c>
      <c r="G539" s="13" t="b">
        <v>0</v>
      </c>
      <c r="H539" s="13" t="b">
        <v>0</v>
      </c>
      <c r="I539" s="13" t="b">
        <v>0</v>
      </c>
      <c r="J539" s="13" t="b">
        <v>0</v>
      </c>
      <c r="K539" s="12"/>
      <c r="L539" s="105">
        <f t="shared" si="8"/>
        <v>0</v>
      </c>
      <c r="M539" s="28"/>
    </row>
    <row r="540" spans="2:13">
      <c r="B540" s="125"/>
      <c r="C540" s="16"/>
      <c r="D540" s="31" t="s">
        <v>891</v>
      </c>
      <c r="E540" s="32" t="s">
        <v>845</v>
      </c>
      <c r="F540" s="13" t="b">
        <v>0</v>
      </c>
      <c r="G540" s="13" t="b">
        <v>0</v>
      </c>
      <c r="H540" s="13" t="b">
        <v>0</v>
      </c>
      <c r="I540" s="13" t="b">
        <v>0</v>
      </c>
      <c r="J540" s="13" t="b">
        <v>0</v>
      </c>
      <c r="K540" s="12"/>
      <c r="L540" s="105">
        <f t="shared" si="8"/>
        <v>0</v>
      </c>
      <c r="M540" s="28"/>
    </row>
    <row r="541" spans="2:13">
      <c r="B541" s="125"/>
      <c r="C541" s="16"/>
      <c r="D541" s="31" t="s">
        <v>892</v>
      </c>
      <c r="E541" s="32" t="s">
        <v>679</v>
      </c>
      <c r="F541" s="13" t="b">
        <v>0</v>
      </c>
      <c r="G541" s="13" t="b">
        <v>0</v>
      </c>
      <c r="H541" s="13" t="b">
        <v>0</v>
      </c>
      <c r="I541" s="13" t="b">
        <v>0</v>
      </c>
      <c r="J541" s="13" t="b">
        <v>0</v>
      </c>
      <c r="K541" s="12"/>
      <c r="L541" s="105">
        <f t="shared" si="8"/>
        <v>0</v>
      </c>
      <c r="M541" s="28"/>
    </row>
    <row r="542" spans="2:13">
      <c r="B542" s="125"/>
      <c r="C542" s="16"/>
      <c r="D542" s="31" t="s">
        <v>893</v>
      </c>
      <c r="E542" s="32" t="s">
        <v>894</v>
      </c>
      <c r="F542" s="13" t="b">
        <v>0</v>
      </c>
      <c r="G542" s="13" t="b">
        <v>0</v>
      </c>
      <c r="H542" s="13" t="b">
        <v>0</v>
      </c>
      <c r="I542" s="13" t="b">
        <v>0</v>
      </c>
      <c r="J542" s="13" t="b">
        <v>0</v>
      </c>
      <c r="K542" s="12"/>
      <c r="L542" s="105">
        <f t="shared" si="8"/>
        <v>0</v>
      </c>
      <c r="M542" s="28"/>
    </row>
    <row r="543" spans="2:13">
      <c r="B543" s="125"/>
      <c r="C543" s="16"/>
      <c r="D543" s="31" t="s">
        <v>895</v>
      </c>
      <c r="E543" s="32" t="s">
        <v>896</v>
      </c>
      <c r="F543" s="13" t="b">
        <v>0</v>
      </c>
      <c r="G543" s="13" t="b">
        <v>0</v>
      </c>
      <c r="H543" s="13" t="b">
        <v>0</v>
      </c>
      <c r="I543" s="13" t="b">
        <v>0</v>
      </c>
      <c r="J543" s="13" t="b">
        <v>0</v>
      </c>
      <c r="K543" s="12"/>
      <c r="L543" s="105">
        <f t="shared" si="8"/>
        <v>0</v>
      </c>
      <c r="M543" s="28"/>
    </row>
    <row r="544" spans="2:13">
      <c r="B544" s="125"/>
      <c r="C544" s="16"/>
      <c r="D544" s="31" t="s">
        <v>897</v>
      </c>
      <c r="E544" s="32" t="s">
        <v>898</v>
      </c>
      <c r="F544" s="13" t="b">
        <v>0</v>
      </c>
      <c r="G544" s="13" t="b">
        <v>0</v>
      </c>
      <c r="H544" s="13" t="b">
        <v>0</v>
      </c>
      <c r="I544" s="13" t="b">
        <v>0</v>
      </c>
      <c r="J544" s="13" t="b">
        <v>0</v>
      </c>
      <c r="K544" s="12"/>
      <c r="L544" s="105">
        <f t="shared" si="8"/>
        <v>0</v>
      </c>
      <c r="M544" s="28"/>
    </row>
    <row r="545" spans="2:13">
      <c r="B545" s="125"/>
      <c r="C545" s="16"/>
      <c r="D545" s="31" t="s">
        <v>899</v>
      </c>
      <c r="E545" s="32" t="s">
        <v>900</v>
      </c>
      <c r="F545" s="13" t="b">
        <v>0</v>
      </c>
      <c r="G545" s="13" t="b">
        <v>0</v>
      </c>
      <c r="H545" s="13" t="b">
        <v>0</v>
      </c>
      <c r="I545" s="13" t="b">
        <v>0</v>
      </c>
      <c r="J545" s="13" t="b">
        <v>0</v>
      </c>
      <c r="K545" s="12"/>
      <c r="L545" s="105">
        <f t="shared" si="8"/>
        <v>0</v>
      </c>
      <c r="M545" s="28"/>
    </row>
    <row r="546" spans="2:13">
      <c r="B546" s="125"/>
      <c r="C546" s="16"/>
      <c r="D546" s="31" t="s">
        <v>901</v>
      </c>
      <c r="E546" s="32" t="s">
        <v>272</v>
      </c>
      <c r="F546" s="13" t="b">
        <v>0</v>
      </c>
      <c r="G546" s="13" t="b">
        <v>0</v>
      </c>
      <c r="H546" s="13" t="b">
        <v>0</v>
      </c>
      <c r="I546" s="13" t="b">
        <v>0</v>
      </c>
      <c r="J546" s="13" t="b">
        <v>0</v>
      </c>
      <c r="K546" s="12"/>
      <c r="L546" s="105">
        <f t="shared" si="8"/>
        <v>0</v>
      </c>
      <c r="M546" s="28"/>
    </row>
    <row r="547" spans="2:13">
      <c r="B547" s="125"/>
      <c r="C547" s="16"/>
      <c r="D547" s="31" t="s">
        <v>902</v>
      </c>
      <c r="E547" s="32" t="s">
        <v>903</v>
      </c>
      <c r="F547" s="13" t="b">
        <v>0</v>
      </c>
      <c r="G547" s="13" t="b">
        <v>0</v>
      </c>
      <c r="H547" s="13" t="b">
        <v>0</v>
      </c>
      <c r="I547" s="13" t="b">
        <v>0</v>
      </c>
      <c r="J547" s="13" t="b">
        <v>0</v>
      </c>
      <c r="K547" s="12"/>
      <c r="L547" s="105">
        <f t="shared" si="8"/>
        <v>0</v>
      </c>
      <c r="M547" s="28"/>
    </row>
    <row r="548" spans="2:13">
      <c r="B548" s="125"/>
      <c r="C548" s="16"/>
      <c r="D548" s="31" t="s">
        <v>904</v>
      </c>
      <c r="E548" s="32" t="s">
        <v>905</v>
      </c>
      <c r="F548" s="13" t="b">
        <v>0</v>
      </c>
      <c r="G548" s="13" t="b">
        <v>0</v>
      </c>
      <c r="H548" s="13" t="b">
        <v>0</v>
      </c>
      <c r="I548" s="13" t="b">
        <v>0</v>
      </c>
      <c r="J548" s="13" t="b">
        <v>0</v>
      </c>
      <c r="K548" s="12"/>
      <c r="L548" s="105">
        <f t="shared" si="8"/>
        <v>0</v>
      </c>
      <c r="M548" s="28"/>
    </row>
    <row r="549" spans="2:13">
      <c r="B549" s="125"/>
      <c r="C549" s="16"/>
      <c r="D549" s="31" t="s">
        <v>906</v>
      </c>
      <c r="E549" s="32" t="s">
        <v>907</v>
      </c>
      <c r="F549" s="13" t="b">
        <v>0</v>
      </c>
      <c r="G549" s="13" t="b">
        <v>0</v>
      </c>
      <c r="H549" s="13" t="b">
        <v>0</v>
      </c>
      <c r="I549" s="13" t="b">
        <v>0</v>
      </c>
      <c r="J549" s="13" t="b">
        <v>0</v>
      </c>
      <c r="K549" s="12"/>
      <c r="L549" s="105">
        <f t="shared" si="8"/>
        <v>0</v>
      </c>
      <c r="M549" s="28"/>
    </row>
    <row r="550" spans="2:13">
      <c r="B550" s="125"/>
      <c r="C550" s="16"/>
      <c r="D550" s="31" t="s">
        <v>908</v>
      </c>
      <c r="E550" s="32" t="s">
        <v>909</v>
      </c>
      <c r="F550" s="13" t="b">
        <v>0</v>
      </c>
      <c r="G550" s="13" t="b">
        <v>0</v>
      </c>
      <c r="H550" s="13" t="b">
        <v>0</v>
      </c>
      <c r="I550" s="13" t="b">
        <v>0</v>
      </c>
      <c r="J550" s="13" t="b">
        <v>0</v>
      </c>
      <c r="K550" s="12"/>
      <c r="L550" s="105">
        <f t="shared" si="8"/>
        <v>0</v>
      </c>
      <c r="M550" s="28"/>
    </row>
    <row r="551" spans="2:13" ht="24">
      <c r="B551" s="125"/>
      <c r="C551" s="16"/>
      <c r="D551" s="31" t="s">
        <v>910</v>
      </c>
      <c r="E551" s="32" t="s">
        <v>911</v>
      </c>
      <c r="F551" s="13" t="b">
        <v>0</v>
      </c>
      <c r="G551" s="13" t="b">
        <v>0</v>
      </c>
      <c r="H551" s="13" t="b">
        <v>0</v>
      </c>
      <c r="I551" s="13" t="b">
        <v>0</v>
      </c>
      <c r="J551" s="13" t="b">
        <v>0</v>
      </c>
      <c r="K551" s="12"/>
      <c r="L551" s="105">
        <f t="shared" si="8"/>
        <v>0</v>
      </c>
      <c r="M551" s="28"/>
    </row>
    <row r="552" spans="2:13" ht="24">
      <c r="B552" s="125"/>
      <c r="C552" s="16"/>
      <c r="D552" s="31" t="s">
        <v>912</v>
      </c>
      <c r="E552" s="32" t="s">
        <v>913</v>
      </c>
      <c r="F552" s="13" t="b">
        <v>0</v>
      </c>
      <c r="G552" s="13" t="b">
        <v>0</v>
      </c>
      <c r="H552" s="13" t="b">
        <v>0</v>
      </c>
      <c r="I552" s="13" t="b">
        <v>0</v>
      </c>
      <c r="J552" s="13" t="b">
        <v>0</v>
      </c>
      <c r="K552" s="12"/>
      <c r="L552" s="105">
        <f t="shared" si="8"/>
        <v>0</v>
      </c>
      <c r="M552" s="28"/>
    </row>
    <row r="553" spans="2:13">
      <c r="B553" s="125"/>
      <c r="C553" s="16"/>
      <c r="D553" s="31" t="s">
        <v>914</v>
      </c>
      <c r="E553" s="32" t="s">
        <v>915</v>
      </c>
      <c r="F553" s="13" t="b">
        <v>0</v>
      </c>
      <c r="G553" s="13" t="b">
        <v>0</v>
      </c>
      <c r="H553" s="13" t="b">
        <v>0</v>
      </c>
      <c r="I553" s="13" t="b">
        <v>0</v>
      </c>
      <c r="J553" s="13" t="b">
        <v>0</v>
      </c>
      <c r="K553" s="12"/>
      <c r="L553" s="105">
        <f t="shared" si="8"/>
        <v>0</v>
      </c>
      <c r="M553" s="28"/>
    </row>
    <row r="554" spans="2:13">
      <c r="B554" s="125"/>
      <c r="C554" s="16"/>
      <c r="D554" s="31" t="s">
        <v>916</v>
      </c>
      <c r="E554" s="32" t="s">
        <v>917</v>
      </c>
      <c r="F554" s="13" t="b">
        <v>0</v>
      </c>
      <c r="G554" s="13" t="b">
        <v>0</v>
      </c>
      <c r="H554" s="13" t="b">
        <v>0</v>
      </c>
      <c r="I554" s="13" t="b">
        <v>0</v>
      </c>
      <c r="J554" s="13" t="b">
        <v>0</v>
      </c>
      <c r="K554" s="12"/>
      <c r="L554" s="105">
        <f t="shared" si="8"/>
        <v>0</v>
      </c>
      <c r="M554" s="28"/>
    </row>
    <row r="555" spans="2:13">
      <c r="B555" s="125"/>
      <c r="C555" s="16"/>
      <c r="D555" s="31" t="s">
        <v>918</v>
      </c>
      <c r="E555" s="32" t="s">
        <v>272</v>
      </c>
      <c r="F555" s="13" t="b">
        <v>0</v>
      </c>
      <c r="G555" s="13" t="b">
        <v>0</v>
      </c>
      <c r="H555" s="13" t="b">
        <v>0</v>
      </c>
      <c r="I555" s="13" t="b">
        <v>0</v>
      </c>
      <c r="J555" s="13" t="b">
        <v>0</v>
      </c>
      <c r="K555" s="12"/>
      <c r="L555" s="105">
        <f t="shared" si="8"/>
        <v>0</v>
      </c>
      <c r="M555" s="28"/>
    </row>
    <row r="556" spans="2:13">
      <c r="B556" s="125"/>
      <c r="C556" s="16"/>
      <c r="D556" s="31" t="s">
        <v>919</v>
      </c>
      <c r="E556" s="32" t="s">
        <v>920</v>
      </c>
      <c r="F556" s="13" t="b">
        <v>0</v>
      </c>
      <c r="G556" s="13" t="b">
        <v>0</v>
      </c>
      <c r="H556" s="13" t="b">
        <v>0</v>
      </c>
      <c r="I556" s="13" t="b">
        <v>0</v>
      </c>
      <c r="J556" s="13" t="b">
        <v>0</v>
      </c>
      <c r="K556" s="12"/>
      <c r="L556" s="105">
        <f t="shared" si="8"/>
        <v>0</v>
      </c>
      <c r="M556" s="28"/>
    </row>
    <row r="557" spans="2:13">
      <c r="B557" s="125"/>
      <c r="C557" s="16"/>
      <c r="D557" s="31" t="s">
        <v>921</v>
      </c>
      <c r="E557" s="32" t="s">
        <v>835</v>
      </c>
      <c r="F557" s="13" t="b">
        <v>0</v>
      </c>
      <c r="G557" s="13" t="b">
        <v>0</v>
      </c>
      <c r="H557" s="13" t="b">
        <v>0</v>
      </c>
      <c r="I557" s="13" t="b">
        <v>0</v>
      </c>
      <c r="J557" s="13" t="b">
        <v>0</v>
      </c>
      <c r="K557" s="12"/>
      <c r="L557" s="105">
        <f t="shared" si="8"/>
        <v>0</v>
      </c>
      <c r="M557" s="28"/>
    </row>
    <row r="558" spans="2:13">
      <c r="B558" s="125"/>
      <c r="C558" s="16"/>
      <c r="D558" s="31" t="s">
        <v>922</v>
      </c>
      <c r="E558" s="32" t="s">
        <v>839</v>
      </c>
      <c r="F558" s="13" t="b">
        <v>0</v>
      </c>
      <c r="G558" s="13" t="b">
        <v>0</v>
      </c>
      <c r="H558" s="13" t="b">
        <v>0</v>
      </c>
      <c r="I558" s="13" t="b">
        <v>0</v>
      </c>
      <c r="J558" s="13" t="b">
        <v>0</v>
      </c>
      <c r="K558" s="12"/>
      <c r="L558" s="105">
        <f t="shared" si="8"/>
        <v>0</v>
      </c>
      <c r="M558" s="28"/>
    </row>
    <row r="559" spans="2:13">
      <c r="B559" s="125"/>
      <c r="C559" s="16"/>
      <c r="D559" s="31" t="s">
        <v>923</v>
      </c>
      <c r="E559" s="32" t="s">
        <v>845</v>
      </c>
      <c r="F559" s="13" t="b">
        <v>0</v>
      </c>
      <c r="G559" s="13" t="b">
        <v>0</v>
      </c>
      <c r="H559" s="13" t="b">
        <v>0</v>
      </c>
      <c r="I559" s="13" t="b">
        <v>0</v>
      </c>
      <c r="J559" s="13" t="b">
        <v>0</v>
      </c>
      <c r="K559" s="12"/>
      <c r="L559" s="105">
        <f t="shared" si="8"/>
        <v>0</v>
      </c>
      <c r="M559" s="28"/>
    </row>
    <row r="560" spans="2:13">
      <c r="B560" s="125"/>
      <c r="C560" s="16"/>
      <c r="D560" s="31" t="s">
        <v>924</v>
      </c>
      <c r="E560" s="32" t="s">
        <v>845</v>
      </c>
      <c r="F560" s="13" t="b">
        <v>0</v>
      </c>
      <c r="G560" s="13" t="b">
        <v>0</v>
      </c>
      <c r="H560" s="13" t="b">
        <v>0</v>
      </c>
      <c r="I560" s="13" t="b">
        <v>0</v>
      </c>
      <c r="J560" s="13" t="b">
        <v>0</v>
      </c>
      <c r="K560" s="12"/>
      <c r="L560" s="105">
        <f t="shared" si="8"/>
        <v>0</v>
      </c>
      <c r="M560" s="28"/>
    </row>
    <row r="561" spans="2:13">
      <c r="B561" s="125"/>
      <c r="C561" s="16"/>
      <c r="D561" s="31" t="s">
        <v>925</v>
      </c>
      <c r="E561" s="32" t="s">
        <v>857</v>
      </c>
      <c r="F561" s="13" t="b">
        <v>0</v>
      </c>
      <c r="G561" s="13" t="b">
        <v>0</v>
      </c>
      <c r="H561" s="13" t="b">
        <v>0</v>
      </c>
      <c r="I561" s="13" t="b">
        <v>0</v>
      </c>
      <c r="J561" s="13" t="b">
        <v>0</v>
      </c>
      <c r="K561" s="12"/>
      <c r="L561" s="105">
        <f t="shared" si="8"/>
        <v>0</v>
      </c>
      <c r="M561" s="28"/>
    </row>
    <row r="562" spans="2:13">
      <c r="B562" s="125"/>
      <c r="C562" s="16"/>
      <c r="D562" s="31" t="s">
        <v>926</v>
      </c>
      <c r="E562" s="32" t="s">
        <v>927</v>
      </c>
      <c r="F562" s="13" t="b">
        <v>0</v>
      </c>
      <c r="G562" s="13" t="b">
        <v>0</v>
      </c>
      <c r="H562" s="13" t="b">
        <v>0</v>
      </c>
      <c r="I562" s="13" t="b">
        <v>0</v>
      </c>
      <c r="J562" s="13" t="b">
        <v>0</v>
      </c>
      <c r="K562" s="12"/>
      <c r="L562" s="105">
        <f t="shared" si="8"/>
        <v>0</v>
      </c>
      <c r="M562" s="28"/>
    </row>
    <row r="563" spans="2:13">
      <c r="B563" s="125"/>
      <c r="C563" s="16"/>
      <c r="D563" s="31" t="s">
        <v>928</v>
      </c>
      <c r="E563" s="32" t="s">
        <v>929</v>
      </c>
      <c r="F563" s="13" t="b">
        <v>0</v>
      </c>
      <c r="G563" s="13" t="b">
        <v>0</v>
      </c>
      <c r="H563" s="13" t="b">
        <v>0</v>
      </c>
      <c r="I563" s="13" t="b">
        <v>0</v>
      </c>
      <c r="J563" s="13" t="b">
        <v>0</v>
      </c>
      <c r="K563" s="12"/>
      <c r="L563" s="105">
        <f t="shared" si="8"/>
        <v>0</v>
      </c>
      <c r="M563" s="28"/>
    </row>
    <row r="564" spans="2:13">
      <c r="B564" s="125"/>
      <c r="C564" s="16"/>
      <c r="D564" s="31" t="s">
        <v>930</v>
      </c>
      <c r="E564" s="32" t="s">
        <v>849</v>
      </c>
      <c r="F564" s="13" t="b">
        <v>0</v>
      </c>
      <c r="G564" s="13" t="b">
        <v>0</v>
      </c>
      <c r="H564" s="13" t="b">
        <v>0</v>
      </c>
      <c r="I564" s="13" t="b">
        <v>0</v>
      </c>
      <c r="J564" s="13" t="b">
        <v>0</v>
      </c>
      <c r="K564" s="12"/>
      <c r="L564" s="105">
        <f t="shared" si="8"/>
        <v>0</v>
      </c>
      <c r="M564" s="28"/>
    </row>
    <row r="565" spans="2:13">
      <c r="B565" s="125"/>
      <c r="C565" s="16"/>
      <c r="D565" s="31" t="s">
        <v>931</v>
      </c>
      <c r="E565" s="32" t="s">
        <v>849</v>
      </c>
      <c r="F565" s="13" t="b">
        <v>0</v>
      </c>
      <c r="G565" s="13" t="b">
        <v>0</v>
      </c>
      <c r="H565" s="13" t="b">
        <v>0</v>
      </c>
      <c r="I565" s="13" t="b">
        <v>0</v>
      </c>
      <c r="J565" s="13" t="b">
        <v>0</v>
      </c>
      <c r="K565" s="12"/>
      <c r="L565" s="105">
        <f t="shared" si="8"/>
        <v>0</v>
      </c>
      <c r="M565" s="28"/>
    </row>
    <row r="566" spans="2:13" ht="24">
      <c r="B566" s="125"/>
      <c r="C566" s="16"/>
      <c r="D566" s="31" t="s">
        <v>932</v>
      </c>
      <c r="E566" s="32" t="s">
        <v>870</v>
      </c>
      <c r="F566" s="13" t="b">
        <v>0</v>
      </c>
      <c r="G566" s="13" t="b">
        <v>0</v>
      </c>
      <c r="H566" s="13" t="b">
        <v>0</v>
      </c>
      <c r="I566" s="13" t="b">
        <v>0</v>
      </c>
      <c r="J566" s="13" t="b">
        <v>0</v>
      </c>
      <c r="K566" s="12"/>
      <c r="L566" s="105">
        <f t="shared" si="8"/>
        <v>0</v>
      </c>
      <c r="M566" s="28"/>
    </row>
    <row r="567" spans="2:13">
      <c r="B567" s="125"/>
      <c r="C567" s="16"/>
      <c r="D567" s="31" t="s">
        <v>933</v>
      </c>
      <c r="E567" s="32" t="s">
        <v>920</v>
      </c>
      <c r="F567" s="13" t="b">
        <v>0</v>
      </c>
      <c r="G567" s="13" t="b">
        <v>0</v>
      </c>
      <c r="H567" s="13" t="b">
        <v>0</v>
      </c>
      <c r="I567" s="13" t="b">
        <v>0</v>
      </c>
      <c r="J567" s="13" t="b">
        <v>0</v>
      </c>
      <c r="K567" s="12"/>
      <c r="L567" s="105">
        <f t="shared" si="8"/>
        <v>0</v>
      </c>
      <c r="M567" s="28"/>
    </row>
    <row r="568" spans="2:13">
      <c r="B568" s="125"/>
      <c r="C568" s="16"/>
      <c r="D568" s="31" t="s">
        <v>934</v>
      </c>
      <c r="E568" s="32" t="s">
        <v>935</v>
      </c>
      <c r="F568" s="13" t="b">
        <v>0</v>
      </c>
      <c r="G568" s="13" t="b">
        <v>0</v>
      </c>
      <c r="H568" s="13" t="b">
        <v>0</v>
      </c>
      <c r="I568" s="13" t="b">
        <v>0</v>
      </c>
      <c r="J568" s="13" t="b">
        <v>0</v>
      </c>
      <c r="K568" s="12"/>
      <c r="L568" s="105">
        <f t="shared" si="8"/>
        <v>0</v>
      </c>
      <c r="M568" s="28"/>
    </row>
    <row r="569" spans="2:13">
      <c r="B569" s="125"/>
      <c r="C569" s="16"/>
      <c r="D569" s="31" t="s">
        <v>936</v>
      </c>
      <c r="E569" s="32" t="s">
        <v>937</v>
      </c>
      <c r="F569" s="13" t="b">
        <v>0</v>
      </c>
      <c r="G569" s="13" t="b">
        <v>0</v>
      </c>
      <c r="H569" s="13" t="b">
        <v>0</v>
      </c>
      <c r="I569" s="13" t="b">
        <v>0</v>
      </c>
      <c r="J569" s="13" t="b">
        <v>0</v>
      </c>
      <c r="K569" s="12"/>
      <c r="L569" s="105">
        <f t="shared" si="8"/>
        <v>0</v>
      </c>
      <c r="M569" s="28"/>
    </row>
    <row r="570" spans="2:13">
      <c r="B570" s="125"/>
      <c r="C570" s="16"/>
      <c r="D570" s="31" t="s">
        <v>938</v>
      </c>
      <c r="E570" s="32" t="s">
        <v>851</v>
      </c>
      <c r="F570" s="13" t="b">
        <v>0</v>
      </c>
      <c r="G570" s="13" t="b">
        <v>0</v>
      </c>
      <c r="H570" s="13" t="b">
        <v>0</v>
      </c>
      <c r="I570" s="13" t="b">
        <v>0</v>
      </c>
      <c r="J570" s="13" t="b">
        <v>0</v>
      </c>
      <c r="K570" s="12"/>
      <c r="L570" s="105">
        <f t="shared" si="8"/>
        <v>0</v>
      </c>
      <c r="M570" s="28"/>
    </row>
    <row r="571" spans="2:13">
      <c r="B571" s="125"/>
      <c r="C571" s="16"/>
      <c r="D571" s="31" t="s">
        <v>939</v>
      </c>
      <c r="E571" s="32" t="s">
        <v>917</v>
      </c>
      <c r="F571" s="13" t="b">
        <v>0</v>
      </c>
      <c r="G571" s="13" t="b">
        <v>0</v>
      </c>
      <c r="H571" s="13" t="b">
        <v>0</v>
      </c>
      <c r="I571" s="13" t="b">
        <v>0</v>
      </c>
      <c r="J571" s="13" t="b">
        <v>0</v>
      </c>
      <c r="K571" s="12"/>
      <c r="L571" s="105">
        <f t="shared" si="8"/>
        <v>0</v>
      </c>
      <c r="M571" s="28"/>
    </row>
    <row r="572" spans="2:13">
      <c r="B572" s="125"/>
      <c r="C572" s="16"/>
      <c r="D572" s="31" t="s">
        <v>940</v>
      </c>
      <c r="E572" s="32" t="s">
        <v>941</v>
      </c>
      <c r="F572" s="13" t="b">
        <v>0</v>
      </c>
      <c r="G572" s="13" t="b">
        <v>0</v>
      </c>
      <c r="H572" s="13" t="b">
        <v>0</v>
      </c>
      <c r="I572" s="13" t="b">
        <v>0</v>
      </c>
      <c r="J572" s="13" t="b">
        <v>0</v>
      </c>
      <c r="K572" s="12"/>
      <c r="L572" s="105">
        <f t="shared" si="8"/>
        <v>0</v>
      </c>
      <c r="M572" s="28"/>
    </row>
    <row r="573" spans="2:13">
      <c r="B573" s="125"/>
      <c r="C573" s="16"/>
      <c r="D573" s="31" t="s">
        <v>942</v>
      </c>
      <c r="E573" s="32" t="s">
        <v>783</v>
      </c>
      <c r="F573" s="13" t="b">
        <v>0</v>
      </c>
      <c r="G573" s="13" t="b">
        <v>0</v>
      </c>
      <c r="H573" s="13" t="b">
        <v>0</v>
      </c>
      <c r="I573" s="13" t="b">
        <v>0</v>
      </c>
      <c r="J573" s="13" t="b">
        <v>0</v>
      </c>
      <c r="K573" s="12"/>
      <c r="L573" s="105">
        <f t="shared" si="8"/>
        <v>0</v>
      </c>
      <c r="M573" s="28"/>
    </row>
    <row r="574" spans="2:13">
      <c r="B574" s="125"/>
      <c r="C574" s="16"/>
      <c r="D574" s="31" t="s">
        <v>943</v>
      </c>
      <c r="E574" s="32" t="s">
        <v>851</v>
      </c>
      <c r="F574" s="13" t="b">
        <v>0</v>
      </c>
      <c r="G574" s="13" t="b">
        <v>0</v>
      </c>
      <c r="H574" s="13" t="b">
        <v>0</v>
      </c>
      <c r="I574" s="13" t="b">
        <v>0</v>
      </c>
      <c r="J574" s="13" t="b">
        <v>0</v>
      </c>
      <c r="K574" s="12"/>
      <c r="L574" s="105">
        <f t="shared" si="8"/>
        <v>0</v>
      </c>
      <c r="M574" s="28"/>
    </row>
    <row r="575" spans="2:13">
      <c r="B575" s="125"/>
      <c r="C575" s="16"/>
      <c r="D575" s="31" t="s">
        <v>944</v>
      </c>
      <c r="E575" s="32" t="s">
        <v>863</v>
      </c>
      <c r="F575" s="13" t="b">
        <v>0</v>
      </c>
      <c r="G575" s="13" t="b">
        <v>0</v>
      </c>
      <c r="H575" s="13" t="b">
        <v>0</v>
      </c>
      <c r="I575" s="13" t="b">
        <v>0</v>
      </c>
      <c r="J575" s="13" t="b">
        <v>0</v>
      </c>
      <c r="K575" s="12"/>
      <c r="L575" s="105">
        <f t="shared" si="8"/>
        <v>0</v>
      </c>
      <c r="M575" s="28"/>
    </row>
    <row r="576" spans="2:13">
      <c r="B576" s="125"/>
      <c r="C576" s="16"/>
      <c r="D576" s="31" t="s">
        <v>945</v>
      </c>
      <c r="E576" s="32" t="s">
        <v>946</v>
      </c>
      <c r="F576" s="13" t="b">
        <v>0</v>
      </c>
      <c r="G576" s="13" t="b">
        <v>0</v>
      </c>
      <c r="H576" s="13" t="b">
        <v>0</v>
      </c>
      <c r="I576" s="13" t="b">
        <v>0</v>
      </c>
      <c r="J576" s="13" t="b">
        <v>0</v>
      </c>
      <c r="K576" s="12"/>
      <c r="L576" s="105">
        <f t="shared" si="8"/>
        <v>0</v>
      </c>
      <c r="M576" s="28"/>
    </row>
    <row r="577" spans="2:13">
      <c r="B577" s="125"/>
      <c r="C577" s="16"/>
      <c r="D577" s="31" t="s">
        <v>947</v>
      </c>
      <c r="E577" s="32" t="s">
        <v>839</v>
      </c>
      <c r="F577" s="13" t="b">
        <v>0</v>
      </c>
      <c r="G577" s="13" t="b">
        <v>0</v>
      </c>
      <c r="H577" s="13" t="b">
        <v>0</v>
      </c>
      <c r="I577" s="13" t="b">
        <v>0</v>
      </c>
      <c r="J577" s="13" t="b">
        <v>0</v>
      </c>
      <c r="K577" s="12"/>
      <c r="L577" s="105">
        <f t="shared" si="8"/>
        <v>0</v>
      </c>
      <c r="M577" s="28"/>
    </row>
    <row r="578" spans="2:13">
      <c r="B578" s="125"/>
      <c r="C578" s="16"/>
      <c r="D578" s="31" t="s">
        <v>948</v>
      </c>
      <c r="E578" s="32" t="s">
        <v>847</v>
      </c>
      <c r="F578" s="13" t="b">
        <v>0</v>
      </c>
      <c r="G578" s="13" t="b">
        <v>0</v>
      </c>
      <c r="H578" s="13" t="b">
        <v>0</v>
      </c>
      <c r="I578" s="13" t="b">
        <v>0</v>
      </c>
      <c r="J578" s="13" t="b">
        <v>0</v>
      </c>
      <c r="K578" s="12"/>
      <c r="L578" s="105">
        <f t="shared" si="8"/>
        <v>0</v>
      </c>
      <c r="M578" s="28"/>
    </row>
    <row r="579" spans="2:13">
      <c r="B579" s="125"/>
      <c r="C579" s="16"/>
      <c r="D579" s="31" t="s">
        <v>949</v>
      </c>
      <c r="E579" s="32" t="s">
        <v>874</v>
      </c>
      <c r="F579" s="13" t="b">
        <v>0</v>
      </c>
      <c r="G579" s="13" t="b">
        <v>0</v>
      </c>
      <c r="H579" s="13" t="b">
        <v>0</v>
      </c>
      <c r="I579" s="13" t="b">
        <v>0</v>
      </c>
      <c r="J579" s="13" t="b">
        <v>0</v>
      </c>
      <c r="K579" s="12"/>
      <c r="L579" s="105">
        <f t="shared" si="8"/>
        <v>0</v>
      </c>
      <c r="M579" s="28"/>
    </row>
    <row r="580" spans="2:13">
      <c r="B580" s="125"/>
      <c r="C580" s="16"/>
      <c r="D580" s="31" t="s">
        <v>950</v>
      </c>
      <c r="E580" s="32" t="s">
        <v>783</v>
      </c>
      <c r="F580" s="13" t="b">
        <v>0</v>
      </c>
      <c r="G580" s="13" t="b">
        <v>0</v>
      </c>
      <c r="H580" s="13" t="b">
        <v>0</v>
      </c>
      <c r="I580" s="13" t="b">
        <v>0</v>
      </c>
      <c r="J580" s="13" t="b">
        <v>0</v>
      </c>
      <c r="K580" s="12"/>
      <c r="L580" s="105">
        <f t="shared" si="8"/>
        <v>0</v>
      </c>
      <c r="M580" s="28"/>
    </row>
    <row r="581" spans="2:13">
      <c r="B581" s="125"/>
      <c r="C581" s="16"/>
      <c r="D581" s="31" t="s">
        <v>951</v>
      </c>
      <c r="E581" s="32" t="s">
        <v>880</v>
      </c>
      <c r="F581" s="13" t="b">
        <v>0</v>
      </c>
      <c r="G581" s="13" t="b">
        <v>0</v>
      </c>
      <c r="H581" s="13" t="b">
        <v>0</v>
      </c>
      <c r="I581" s="13" t="b">
        <v>0</v>
      </c>
      <c r="J581" s="13" t="b">
        <v>0</v>
      </c>
      <c r="K581" s="12"/>
      <c r="L581" s="105">
        <f t="shared" si="8"/>
        <v>0</v>
      </c>
      <c r="M581" s="28"/>
    </row>
    <row r="582" spans="2:13">
      <c r="B582" s="125"/>
      <c r="C582" s="16"/>
      <c r="D582" s="31" t="s">
        <v>952</v>
      </c>
      <c r="E582" s="32" t="s">
        <v>889</v>
      </c>
      <c r="F582" s="13" t="b">
        <v>0</v>
      </c>
      <c r="G582" s="13" t="b">
        <v>0</v>
      </c>
      <c r="H582" s="13" t="b">
        <v>0</v>
      </c>
      <c r="I582" s="13" t="b">
        <v>0</v>
      </c>
      <c r="J582" s="13" t="b">
        <v>0</v>
      </c>
      <c r="K582" s="12"/>
      <c r="L582" s="105">
        <f t="shared" si="8"/>
        <v>0</v>
      </c>
      <c r="M582" s="28"/>
    </row>
    <row r="583" spans="2:13">
      <c r="B583" s="125"/>
      <c r="C583" s="16"/>
      <c r="D583" s="31" t="s">
        <v>953</v>
      </c>
      <c r="E583" s="32" t="s">
        <v>954</v>
      </c>
      <c r="F583" s="13" t="b">
        <v>0</v>
      </c>
      <c r="G583" s="13" t="b">
        <v>0</v>
      </c>
      <c r="H583" s="13" t="b">
        <v>0</v>
      </c>
      <c r="I583" s="13" t="b">
        <v>0</v>
      </c>
      <c r="J583" s="13" t="b">
        <v>0</v>
      </c>
      <c r="K583" s="12"/>
      <c r="L583" s="105">
        <f t="shared" ref="L583:L591" si="9">K583-M583</f>
        <v>0</v>
      </c>
      <c r="M583" s="28"/>
    </row>
    <row r="584" spans="2:13">
      <c r="B584" s="125"/>
      <c r="C584" s="16"/>
      <c r="D584" s="31" t="s">
        <v>955</v>
      </c>
      <c r="E584" s="32" t="s">
        <v>956</v>
      </c>
      <c r="F584" s="13" t="b">
        <v>0</v>
      </c>
      <c r="G584" s="13" t="b">
        <v>0</v>
      </c>
      <c r="H584" s="13" t="b">
        <v>0</v>
      </c>
      <c r="I584" s="13" t="b">
        <v>0</v>
      </c>
      <c r="J584" s="13" t="b">
        <v>0</v>
      </c>
      <c r="K584" s="12"/>
      <c r="L584" s="105">
        <f t="shared" si="9"/>
        <v>0</v>
      </c>
      <c r="M584" s="28"/>
    </row>
    <row r="585" spans="2:13">
      <c r="B585" s="125"/>
      <c r="C585" s="16"/>
      <c r="D585" s="31" t="s">
        <v>957</v>
      </c>
      <c r="E585" s="32" t="s">
        <v>863</v>
      </c>
      <c r="F585" s="13" t="b">
        <v>0</v>
      </c>
      <c r="G585" s="13" t="b">
        <v>0</v>
      </c>
      <c r="H585" s="13" t="b">
        <v>0</v>
      </c>
      <c r="I585" s="13" t="b">
        <v>0</v>
      </c>
      <c r="J585" s="13" t="b">
        <v>0</v>
      </c>
      <c r="K585" s="12"/>
      <c r="L585" s="105">
        <f t="shared" si="9"/>
        <v>0</v>
      </c>
      <c r="M585" s="28"/>
    </row>
    <row r="586" spans="2:13" ht="36">
      <c r="B586" s="125"/>
      <c r="C586" s="16"/>
      <c r="D586" s="31" t="s">
        <v>958</v>
      </c>
      <c r="E586" s="32" t="s">
        <v>959</v>
      </c>
      <c r="F586" s="13" t="b">
        <v>0</v>
      </c>
      <c r="G586" s="13" t="b">
        <v>0</v>
      </c>
      <c r="H586" s="13" t="b">
        <v>0</v>
      </c>
      <c r="I586" s="13" t="b">
        <v>0</v>
      </c>
      <c r="J586" s="13" t="b">
        <v>0</v>
      </c>
      <c r="K586" s="12"/>
      <c r="L586" s="105">
        <f t="shared" si="9"/>
        <v>0</v>
      </c>
      <c r="M586" s="28"/>
    </row>
    <row r="587" spans="2:13">
      <c r="B587" s="125"/>
      <c r="C587" s="16"/>
      <c r="D587" s="31" t="s">
        <v>960</v>
      </c>
      <c r="E587" s="32" t="s">
        <v>961</v>
      </c>
      <c r="F587" s="13" t="b">
        <v>0</v>
      </c>
      <c r="G587" s="13" t="b">
        <v>0</v>
      </c>
      <c r="H587" s="13" t="b">
        <v>0</v>
      </c>
      <c r="I587" s="13" t="b">
        <v>0</v>
      </c>
      <c r="J587" s="13" t="b">
        <v>0</v>
      </c>
      <c r="K587" s="12"/>
      <c r="L587" s="105">
        <f t="shared" si="9"/>
        <v>0</v>
      </c>
      <c r="M587" s="28"/>
    </row>
    <row r="588" spans="2:13">
      <c r="B588" s="125"/>
      <c r="C588" s="16"/>
      <c r="D588" s="31" t="s">
        <v>962</v>
      </c>
      <c r="E588" s="32" t="s">
        <v>874</v>
      </c>
      <c r="F588" s="13" t="b">
        <v>0</v>
      </c>
      <c r="G588" s="13" t="b">
        <v>0</v>
      </c>
      <c r="H588" s="13" t="b">
        <v>0</v>
      </c>
      <c r="I588" s="13" t="b">
        <v>0</v>
      </c>
      <c r="J588" s="13" t="b">
        <v>0</v>
      </c>
      <c r="K588" s="12"/>
      <c r="L588" s="105">
        <f t="shared" si="9"/>
        <v>0</v>
      </c>
      <c r="M588" s="28"/>
    </row>
    <row r="589" spans="2:13">
      <c r="B589" s="125"/>
      <c r="C589" s="16"/>
      <c r="D589" s="31" t="s">
        <v>963</v>
      </c>
      <c r="E589" s="32" t="s">
        <v>964</v>
      </c>
      <c r="F589" s="13" t="b">
        <v>0</v>
      </c>
      <c r="G589" s="13" t="b">
        <v>0</v>
      </c>
      <c r="H589" s="13" t="b">
        <v>0</v>
      </c>
      <c r="I589" s="13" t="b">
        <v>0</v>
      </c>
      <c r="J589" s="13" t="b">
        <v>0</v>
      </c>
      <c r="K589" s="12"/>
      <c r="L589" s="105">
        <f t="shared" si="9"/>
        <v>0</v>
      </c>
      <c r="M589" s="28"/>
    </row>
    <row r="590" spans="2:13">
      <c r="B590" s="125"/>
      <c r="C590" s="16"/>
      <c r="D590" s="31" t="s">
        <v>656</v>
      </c>
      <c r="E590" s="32" t="s">
        <v>679</v>
      </c>
      <c r="F590" s="13" t="b">
        <v>0</v>
      </c>
      <c r="G590" s="13" t="b">
        <v>0</v>
      </c>
      <c r="H590" s="13" t="b">
        <v>0</v>
      </c>
      <c r="I590" s="13" t="b">
        <v>0</v>
      </c>
      <c r="J590" s="13" t="b">
        <v>0</v>
      </c>
      <c r="K590" s="12"/>
      <c r="L590" s="105">
        <f t="shared" si="9"/>
        <v>0</v>
      </c>
      <c r="M590" s="28"/>
    </row>
    <row r="591" spans="2:13">
      <c r="B591" s="126"/>
      <c r="C591" s="20"/>
      <c r="D591" s="37" t="s">
        <v>965</v>
      </c>
      <c r="E591" s="38" t="s">
        <v>863</v>
      </c>
      <c r="F591" s="39" t="b">
        <v>0</v>
      </c>
      <c r="G591" s="39" t="b">
        <v>0</v>
      </c>
      <c r="H591" s="39" t="b">
        <v>0</v>
      </c>
      <c r="I591" s="39" t="b">
        <v>0</v>
      </c>
      <c r="J591" s="39" t="b">
        <v>0</v>
      </c>
      <c r="K591" s="40"/>
      <c r="L591" s="105">
        <f t="shared" si="9"/>
        <v>0</v>
      </c>
      <c r="M591" s="41"/>
    </row>
    <row r="592" spans="2:13">
      <c r="D592" s="37"/>
      <c r="E592" s="38"/>
      <c r="F592" s="40"/>
      <c r="G592" s="40"/>
      <c r="H592" s="40"/>
      <c r="I592" s="40"/>
      <c r="J592" s="40"/>
      <c r="K592" s="40">
        <f>SUBTOTAL(109,BOHMOUND[Column8])</f>
        <v>4118</v>
      </c>
      <c r="L592" s="40">
        <f>SUBTOTAL(109,BOHMOUND[Column9])</f>
        <v>2995</v>
      </c>
      <c r="M592" s="40">
        <f>SUBTOTAL(109,BOHMOUND[Column10])</f>
        <v>1123</v>
      </c>
    </row>
  </sheetData>
  <mergeCells count="3">
    <mergeCell ref="N5:O5"/>
    <mergeCell ref="P5:Q5"/>
    <mergeCell ref="B2:C2"/>
  </mergeCells>
  <conditionalFormatting sqref="B7:C591 S7:S39">
    <cfRule type="expression" dxfId="201" priority="4">
      <formula>MOD(ROW(),2)=1</formula>
    </cfRule>
  </conditionalFormatting>
  <conditionalFormatting sqref="E160">
    <cfRule type="expression" dxfId="200" priority="2">
      <formula>MOD(ROW(),2)=1</formula>
    </cfRule>
  </conditionalFormatting>
  <conditionalFormatting sqref="E148">
    <cfRule type="expression" dxfId="199" priority="1">
      <formula>MOD(ROW(),2)=1</formula>
    </cfRule>
  </conditionalFormatting>
  <dataValidations count="1">
    <dataValidation type="list" allowBlank="1" showInputMessage="1" showErrorMessage="1" sqref="C1 C3:C1048576" xr:uid="{73608F9B-2CE2-4D4A-834D-99D12475564B}">
      <formula1>$S$7:$S$39</formula1>
    </dataValidation>
  </dataValidations>
  <hyperlinks>
    <hyperlink ref="B2:C2" location="MENU" display="MENU" xr:uid="{E4B25FB6-2D27-4280-B43B-C0536EA792E3}"/>
  </hyperlink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1428-0850-4D00-A8D2-5FF55A198E38}">
  <dimension ref="B2:U97"/>
  <sheetViews>
    <sheetView workbookViewId="0">
      <pane xSplit="1" topLeftCell="B76" activePane="topRight" state="frozen"/>
      <selection pane="topRight" activeCell="K51" sqref="K51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12.42578125" customWidth="1"/>
    <col min="15" max="15" width="31.28515625" style="81" customWidth="1"/>
    <col min="16" max="16" width="32.140625" customWidth="1"/>
    <col min="17" max="17" width="22" customWidth="1"/>
    <col min="18" max="18" width="29.5703125" customWidth="1"/>
    <col min="19" max="19" width="39.42578125" customWidth="1"/>
    <col min="21" max="21" width="18.42578125" style="81" hidden="1" customWidth="1"/>
  </cols>
  <sheetData>
    <row r="2" spans="2:21" ht="46.5">
      <c r="B2" s="211" t="s">
        <v>30</v>
      </c>
      <c r="C2" s="211"/>
    </row>
    <row r="16" spans="2:21" ht="60.75">
      <c r="B16" s="123" t="s">
        <v>31</v>
      </c>
      <c r="C16" s="61" t="s">
        <v>32</v>
      </c>
      <c r="D16" s="63" t="s">
        <v>33</v>
      </c>
      <c r="E16" s="64" t="s">
        <v>34</v>
      </c>
      <c r="F16" s="65" t="s">
        <v>25</v>
      </c>
      <c r="G16" s="65" t="s">
        <v>29</v>
      </c>
      <c r="H16" s="65" t="s">
        <v>35</v>
      </c>
      <c r="I16" s="65" t="s">
        <v>36</v>
      </c>
      <c r="J16" s="65" t="s">
        <v>37</v>
      </c>
      <c r="K16" s="46" t="s">
        <v>2</v>
      </c>
      <c r="L16" s="46" t="s">
        <v>3</v>
      </c>
      <c r="M16" s="121" t="s">
        <v>4</v>
      </c>
      <c r="N16" s="198"/>
      <c r="U16" s="104" t="s">
        <v>38</v>
      </c>
    </row>
    <row r="17" spans="2:21">
      <c r="D17" s="5" t="s">
        <v>39</v>
      </c>
      <c r="E17" s="1" t="s">
        <v>40</v>
      </c>
      <c r="F17" s="8" t="s">
        <v>41</v>
      </c>
      <c r="G17" s="8" t="s">
        <v>42</v>
      </c>
      <c r="H17" s="9" t="s">
        <v>43</v>
      </c>
      <c r="I17" s="9" t="s">
        <v>44</v>
      </c>
      <c r="J17" s="9" t="s">
        <v>45</v>
      </c>
      <c r="K17" s="6" t="s">
        <v>46</v>
      </c>
      <c r="L17" s="6" t="s">
        <v>47</v>
      </c>
      <c r="M17" s="7" t="s">
        <v>48</v>
      </c>
      <c r="N17" s="198"/>
      <c r="U17" s="101"/>
    </row>
    <row r="18" spans="2:21">
      <c r="B18" s="124"/>
      <c r="C18" s="50"/>
      <c r="D18" s="25" t="s">
        <v>49</v>
      </c>
      <c r="E18" s="26" t="s">
        <v>50</v>
      </c>
      <c r="F18" s="27" t="b">
        <v>0</v>
      </c>
      <c r="G18" s="27" t="b">
        <v>0</v>
      </c>
      <c r="H18" s="13" t="b">
        <v>0</v>
      </c>
      <c r="I18" s="13" t="b">
        <v>0</v>
      </c>
      <c r="J18" s="13" t="b">
        <v>0</v>
      </c>
      <c r="K18" s="105"/>
      <c r="L18" s="105">
        <f t="shared" ref="L18:L81" si="0">K18-M18</f>
        <v>0</v>
      </c>
      <c r="M18" s="112"/>
      <c r="N18" s="198"/>
      <c r="U18" s="102" t="s">
        <v>51</v>
      </c>
    </row>
    <row r="19" spans="2:21">
      <c r="B19" s="125"/>
      <c r="C19" s="16"/>
      <c r="D19" s="25" t="s">
        <v>52</v>
      </c>
      <c r="E19" s="26" t="s">
        <v>50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76"/>
      <c r="L19" s="105">
        <f t="shared" si="0"/>
        <v>0</v>
      </c>
      <c r="M19" s="113"/>
      <c r="N19" s="198"/>
      <c r="U19" s="102" t="s">
        <v>53</v>
      </c>
    </row>
    <row r="20" spans="2:21" ht="27">
      <c r="B20" s="125">
        <v>46051</v>
      </c>
      <c r="C20" s="16" t="s">
        <v>53</v>
      </c>
      <c r="D20" s="25" t="s">
        <v>54</v>
      </c>
      <c r="E20" s="26" t="s">
        <v>55</v>
      </c>
      <c r="F20" s="13" t="b">
        <v>1</v>
      </c>
      <c r="G20" s="13" t="b">
        <v>1</v>
      </c>
      <c r="H20" s="13" t="b">
        <v>0</v>
      </c>
      <c r="I20" s="13" t="b">
        <v>0</v>
      </c>
      <c r="J20" s="13" t="b">
        <v>0</v>
      </c>
      <c r="K20" s="105">
        <v>9</v>
      </c>
      <c r="L20" s="105">
        <f>K20-M20</f>
        <v>1</v>
      </c>
      <c r="M20" s="112">
        <v>8</v>
      </c>
      <c r="N20" s="198"/>
      <c r="U20" s="102" t="s">
        <v>51</v>
      </c>
    </row>
    <row r="21" spans="2:21">
      <c r="B21" s="125">
        <v>46051</v>
      </c>
      <c r="C21" s="16" t="s">
        <v>53</v>
      </c>
      <c r="D21" s="25" t="s">
        <v>57</v>
      </c>
      <c r="E21" s="26" t="s">
        <v>58</v>
      </c>
      <c r="F21" s="13" t="b">
        <v>1</v>
      </c>
      <c r="G21" s="13" t="b">
        <v>0</v>
      </c>
      <c r="H21" s="13" t="b">
        <v>0</v>
      </c>
      <c r="I21" s="13" t="b">
        <v>0</v>
      </c>
      <c r="J21" s="13" t="b">
        <v>0</v>
      </c>
      <c r="K21" s="76">
        <v>6</v>
      </c>
      <c r="L21" s="105">
        <f t="shared" si="0"/>
        <v>0</v>
      </c>
      <c r="M21" s="113">
        <v>6</v>
      </c>
      <c r="N21" s="198"/>
      <c r="U21" s="102" t="s">
        <v>53</v>
      </c>
    </row>
    <row r="22" spans="2:21" ht="27">
      <c r="B22" s="125">
        <v>46051</v>
      </c>
      <c r="C22" s="16" t="s">
        <v>53</v>
      </c>
      <c r="D22" s="25" t="s">
        <v>60</v>
      </c>
      <c r="E22" s="26" t="s">
        <v>61</v>
      </c>
      <c r="F22" s="13" t="b">
        <v>1</v>
      </c>
      <c r="G22" s="13" t="b">
        <v>1</v>
      </c>
      <c r="H22" s="13" t="b">
        <v>0</v>
      </c>
      <c r="I22" s="13" t="b">
        <v>0</v>
      </c>
      <c r="J22" s="13" t="b">
        <v>0</v>
      </c>
      <c r="K22" s="105">
        <v>23</v>
      </c>
      <c r="L22" s="105">
        <f t="shared" si="0"/>
        <v>2</v>
      </c>
      <c r="M22" s="112">
        <v>21</v>
      </c>
      <c r="N22" s="198"/>
      <c r="U22" s="102" t="s">
        <v>56</v>
      </c>
    </row>
    <row r="23" spans="2:21">
      <c r="B23" s="125">
        <v>46051</v>
      </c>
      <c r="C23" s="16" t="s">
        <v>63</v>
      </c>
      <c r="D23" s="25" t="s">
        <v>64</v>
      </c>
      <c r="E23" s="26" t="s">
        <v>65</v>
      </c>
      <c r="F23" s="13" t="b">
        <v>1</v>
      </c>
      <c r="G23" s="13" t="b">
        <v>0</v>
      </c>
      <c r="H23" s="13" t="b">
        <v>0</v>
      </c>
      <c r="I23" s="13" t="b">
        <v>0</v>
      </c>
      <c r="J23" s="13" t="b">
        <v>0</v>
      </c>
      <c r="K23" s="76">
        <v>5</v>
      </c>
      <c r="L23" s="105">
        <f t="shared" si="0"/>
        <v>1</v>
      </c>
      <c r="M23" s="113">
        <v>4</v>
      </c>
      <c r="N23" s="198"/>
      <c r="U23" s="102" t="s">
        <v>59</v>
      </c>
    </row>
    <row r="24" spans="2:21">
      <c r="B24" s="125">
        <v>46051</v>
      </c>
      <c r="C24" s="16" t="s">
        <v>53</v>
      </c>
      <c r="D24" s="25" t="s">
        <v>67</v>
      </c>
      <c r="E24" s="26" t="s">
        <v>68</v>
      </c>
      <c r="F24" s="13" t="b">
        <v>1</v>
      </c>
      <c r="G24" s="13" t="b">
        <v>1</v>
      </c>
      <c r="H24" s="13" t="b">
        <v>0</v>
      </c>
      <c r="I24" s="13" t="b">
        <v>0</v>
      </c>
      <c r="J24" s="13" t="b">
        <v>0</v>
      </c>
      <c r="K24" s="105">
        <v>8</v>
      </c>
      <c r="L24" s="105">
        <f t="shared" si="0"/>
        <v>1</v>
      </c>
      <c r="M24" s="112">
        <v>7</v>
      </c>
      <c r="N24" s="198"/>
      <c r="U24" s="102" t="s">
        <v>62</v>
      </c>
    </row>
    <row r="25" spans="2:21">
      <c r="B25" s="125">
        <v>46051</v>
      </c>
      <c r="C25" s="16" t="s">
        <v>63</v>
      </c>
      <c r="D25" s="25" t="s">
        <v>70</v>
      </c>
      <c r="E25" s="26" t="s">
        <v>71</v>
      </c>
      <c r="F25" s="13" t="b">
        <v>1</v>
      </c>
      <c r="G25" s="13" t="b">
        <v>0</v>
      </c>
      <c r="H25" s="13" t="b">
        <v>0</v>
      </c>
      <c r="I25" s="13" t="b">
        <v>0</v>
      </c>
      <c r="J25" s="13" t="b">
        <v>0</v>
      </c>
      <c r="K25" s="76">
        <v>6</v>
      </c>
      <c r="L25" s="105">
        <f t="shared" si="0"/>
        <v>3</v>
      </c>
      <c r="M25" s="76">
        <v>3</v>
      </c>
      <c r="N25" s="198"/>
      <c r="U25" s="102" t="s">
        <v>66</v>
      </c>
    </row>
    <row r="26" spans="2:21">
      <c r="B26" s="125">
        <v>46051</v>
      </c>
      <c r="C26" s="16" t="s">
        <v>63</v>
      </c>
      <c r="D26" s="25" t="s">
        <v>73</v>
      </c>
      <c r="E26" s="26" t="s">
        <v>74</v>
      </c>
      <c r="F26" s="13" t="b">
        <v>1</v>
      </c>
      <c r="G26" s="13" t="b">
        <v>0</v>
      </c>
      <c r="H26" s="13" t="b">
        <v>0</v>
      </c>
      <c r="I26" s="13" t="b">
        <v>0</v>
      </c>
      <c r="J26" s="13" t="b">
        <v>0</v>
      </c>
      <c r="K26" s="105">
        <v>5</v>
      </c>
      <c r="L26" s="105">
        <f t="shared" si="0"/>
        <v>0</v>
      </c>
      <c r="M26" s="105">
        <v>5</v>
      </c>
      <c r="N26" s="198"/>
      <c r="U26" s="102" t="s">
        <v>69</v>
      </c>
    </row>
    <row r="27" spans="2:21">
      <c r="B27" s="125">
        <v>46051</v>
      </c>
      <c r="C27" s="16" t="s">
        <v>63</v>
      </c>
      <c r="D27" s="25" t="s">
        <v>76</v>
      </c>
      <c r="E27" s="205" t="s">
        <v>77</v>
      </c>
      <c r="F27" s="13" t="b">
        <v>1</v>
      </c>
      <c r="G27" s="13" t="b">
        <v>0</v>
      </c>
      <c r="H27" s="13" t="b">
        <v>0</v>
      </c>
      <c r="I27" s="13" t="b">
        <v>0</v>
      </c>
      <c r="J27" s="13" t="b">
        <v>0</v>
      </c>
      <c r="K27" s="76">
        <v>1</v>
      </c>
      <c r="L27" s="105">
        <f t="shared" si="0"/>
        <v>0</v>
      </c>
      <c r="M27" s="76">
        <v>1</v>
      </c>
      <c r="N27" s="198"/>
      <c r="U27" s="102" t="s">
        <v>72</v>
      </c>
    </row>
    <row r="28" spans="2:21">
      <c r="B28" s="125"/>
      <c r="C28" s="16"/>
      <c r="D28" s="25" t="s">
        <v>79</v>
      </c>
      <c r="E28" s="26" t="s">
        <v>80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05"/>
      <c r="L28" s="105">
        <f t="shared" si="0"/>
        <v>0</v>
      </c>
      <c r="M28" s="105"/>
      <c r="N28" s="198"/>
      <c r="U28" s="102" t="s">
        <v>75</v>
      </c>
    </row>
    <row r="29" spans="2:21">
      <c r="B29" s="125"/>
      <c r="C29" s="16"/>
      <c r="D29" s="25" t="s">
        <v>82</v>
      </c>
      <c r="E29" s="26" t="s">
        <v>83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76"/>
      <c r="L29" s="105">
        <f t="shared" si="0"/>
        <v>0</v>
      </c>
      <c r="M29" s="76"/>
      <c r="N29" s="198"/>
      <c r="U29" s="102" t="s">
        <v>78</v>
      </c>
    </row>
    <row r="30" spans="2:21">
      <c r="B30" s="125"/>
      <c r="C30" s="16"/>
      <c r="D30" s="25" t="s">
        <v>84</v>
      </c>
      <c r="E30" s="26" t="s">
        <v>80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>
        <f t="shared" si="0"/>
        <v>0</v>
      </c>
      <c r="M30" s="105"/>
      <c r="N30" s="198"/>
      <c r="U30" s="102" t="s">
        <v>81</v>
      </c>
    </row>
    <row r="31" spans="2:21">
      <c r="B31" s="125"/>
      <c r="C31" s="16"/>
      <c r="D31" s="25" t="s">
        <v>86</v>
      </c>
      <c r="E31" s="26" t="s">
        <v>87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76"/>
      <c r="L31" s="105">
        <f t="shared" si="0"/>
        <v>0</v>
      </c>
      <c r="M31" s="76"/>
      <c r="N31" s="198"/>
      <c r="U31" s="102" t="s">
        <v>63</v>
      </c>
    </row>
    <row r="32" spans="2:21">
      <c r="B32" s="125">
        <v>46048</v>
      </c>
      <c r="C32" s="16" t="s">
        <v>66</v>
      </c>
      <c r="D32" s="25" t="s">
        <v>89</v>
      </c>
      <c r="E32" s="26" t="s">
        <v>90</v>
      </c>
      <c r="F32" s="13" t="b">
        <v>1</v>
      </c>
      <c r="G32" s="13" t="b">
        <v>0</v>
      </c>
      <c r="H32" s="13" t="b">
        <v>0</v>
      </c>
      <c r="I32" s="13" t="b">
        <v>0</v>
      </c>
      <c r="J32" s="13" t="b">
        <v>0</v>
      </c>
      <c r="K32" s="105">
        <v>12</v>
      </c>
      <c r="L32" s="105">
        <f t="shared" si="0"/>
        <v>1</v>
      </c>
      <c r="M32" s="105">
        <v>11</v>
      </c>
      <c r="N32" s="198"/>
      <c r="U32" s="102" t="s">
        <v>85</v>
      </c>
    </row>
    <row r="33" spans="2:21">
      <c r="B33" s="125">
        <v>46048</v>
      </c>
      <c r="C33" s="16" t="s">
        <v>66</v>
      </c>
      <c r="D33" s="25" t="s">
        <v>92</v>
      </c>
      <c r="E33" s="26" t="s">
        <v>93</v>
      </c>
      <c r="F33" s="13" t="b">
        <v>1</v>
      </c>
      <c r="G33" s="13" t="b">
        <v>0</v>
      </c>
      <c r="H33" s="13" t="b">
        <v>0</v>
      </c>
      <c r="I33" s="13" t="b">
        <v>0</v>
      </c>
      <c r="J33" s="13" t="b">
        <v>0</v>
      </c>
      <c r="K33" s="76">
        <v>12</v>
      </c>
      <c r="L33" s="105">
        <f t="shared" si="0"/>
        <v>3</v>
      </c>
      <c r="M33" s="76">
        <v>9</v>
      </c>
      <c r="N33" s="198"/>
      <c r="U33" s="102" t="s">
        <v>88</v>
      </c>
    </row>
    <row r="34" spans="2:21">
      <c r="B34" s="125">
        <v>46121</v>
      </c>
      <c r="C34" s="16" t="s">
        <v>63</v>
      </c>
      <c r="D34" s="25" t="s">
        <v>95</v>
      </c>
      <c r="E34" s="26" t="s">
        <v>58</v>
      </c>
      <c r="F34" s="13" t="b">
        <v>1</v>
      </c>
      <c r="G34" s="13" t="b">
        <v>0</v>
      </c>
      <c r="H34" s="13" t="b">
        <v>0</v>
      </c>
      <c r="I34" s="13" t="b">
        <v>0</v>
      </c>
      <c r="J34" s="13" t="b">
        <v>0</v>
      </c>
      <c r="K34" s="105">
        <v>19</v>
      </c>
      <c r="L34" s="105">
        <f t="shared" si="0"/>
        <v>19</v>
      </c>
      <c r="M34" s="105"/>
      <c r="N34" s="198"/>
      <c r="U34" s="102" t="s">
        <v>91</v>
      </c>
    </row>
    <row r="35" spans="2:21">
      <c r="B35" s="125">
        <v>46121</v>
      </c>
      <c r="C35" s="16" t="s">
        <v>85</v>
      </c>
      <c r="D35" s="25" t="s">
        <v>97</v>
      </c>
      <c r="E35" s="26" t="s">
        <v>98</v>
      </c>
      <c r="F35" s="13" t="b">
        <v>1</v>
      </c>
      <c r="G35" s="13" t="b">
        <v>0</v>
      </c>
      <c r="H35" s="13" t="b">
        <v>0</v>
      </c>
      <c r="I35" s="13" t="b">
        <v>0</v>
      </c>
      <c r="J35" s="13" t="b">
        <v>0</v>
      </c>
      <c r="K35" s="76">
        <v>15</v>
      </c>
      <c r="L35" s="105">
        <f t="shared" si="0"/>
        <v>15</v>
      </c>
      <c r="M35" s="76"/>
      <c r="N35" s="198"/>
      <c r="U35" s="102" t="s">
        <v>94</v>
      </c>
    </row>
    <row r="36" spans="2:21">
      <c r="B36" s="125"/>
      <c r="C36" s="16"/>
      <c r="D36" s="25" t="s">
        <v>99</v>
      </c>
      <c r="E36" s="26" t="s">
        <v>100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>
        <f t="shared" si="0"/>
        <v>0</v>
      </c>
      <c r="M36" s="105"/>
      <c r="N36" s="198"/>
      <c r="U36" s="102" t="s">
        <v>966</v>
      </c>
    </row>
    <row r="37" spans="2:21">
      <c r="B37" s="125">
        <v>46048</v>
      </c>
      <c r="C37" s="16" t="s">
        <v>85</v>
      </c>
      <c r="D37" s="25" t="s">
        <v>101</v>
      </c>
      <c r="E37" s="26" t="s">
        <v>65</v>
      </c>
      <c r="F37" s="13" t="b">
        <v>1</v>
      </c>
      <c r="G37" s="13" t="b">
        <v>0</v>
      </c>
      <c r="H37" s="13" t="b">
        <v>0</v>
      </c>
      <c r="I37" s="13" t="b">
        <v>0</v>
      </c>
      <c r="J37" s="13" t="b">
        <v>0</v>
      </c>
      <c r="K37" s="76">
        <v>4</v>
      </c>
      <c r="L37" s="105">
        <f t="shared" si="0"/>
        <v>4</v>
      </c>
      <c r="M37" s="76"/>
      <c r="N37" s="198"/>
      <c r="U37" s="102"/>
    </row>
    <row r="38" spans="2:21">
      <c r="B38" s="125">
        <v>46121</v>
      </c>
      <c r="C38" s="16" t="s">
        <v>85</v>
      </c>
      <c r="D38" s="25" t="s">
        <v>102</v>
      </c>
      <c r="E38" s="26" t="s">
        <v>65</v>
      </c>
      <c r="F38" s="13" t="b">
        <v>1</v>
      </c>
      <c r="G38" s="13" t="b">
        <v>0</v>
      </c>
      <c r="H38" s="13" t="b">
        <v>0</v>
      </c>
      <c r="I38" s="13" t="b">
        <v>0</v>
      </c>
      <c r="J38" s="13" t="b">
        <v>0</v>
      </c>
      <c r="K38" s="105">
        <v>17</v>
      </c>
      <c r="L38" s="105">
        <f t="shared" si="0"/>
        <v>17</v>
      </c>
      <c r="M38" s="105"/>
      <c r="N38" s="198"/>
      <c r="U38" s="102"/>
    </row>
    <row r="39" spans="2:21">
      <c r="B39" s="125"/>
      <c r="C39" s="16"/>
      <c r="D39" s="25" t="s">
        <v>103</v>
      </c>
      <c r="E39" s="25" t="s">
        <v>50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105">
        <f t="shared" si="0"/>
        <v>0</v>
      </c>
      <c r="M39" s="76"/>
      <c r="N39" s="198"/>
      <c r="U39" s="102"/>
    </row>
    <row r="40" spans="2:21">
      <c r="B40" s="125">
        <v>46121</v>
      </c>
      <c r="C40" s="16" t="s">
        <v>66</v>
      </c>
      <c r="D40" s="25" t="s">
        <v>104</v>
      </c>
      <c r="E40" s="26" t="s">
        <v>93</v>
      </c>
      <c r="F40" s="13" t="b">
        <v>1</v>
      </c>
      <c r="G40" s="13" t="b">
        <v>0</v>
      </c>
      <c r="H40" s="13" t="b">
        <v>0</v>
      </c>
      <c r="I40" s="13" t="b">
        <v>0</v>
      </c>
      <c r="J40" s="13" t="b">
        <v>0</v>
      </c>
      <c r="K40" s="105">
        <v>23</v>
      </c>
      <c r="L40" s="105">
        <f t="shared" si="0"/>
        <v>23</v>
      </c>
      <c r="M40" s="105"/>
      <c r="N40" s="198"/>
      <c r="U40" s="102"/>
    </row>
    <row r="41" spans="2:21">
      <c r="B41" s="125">
        <v>46124</v>
      </c>
      <c r="C41" s="16" t="s">
        <v>85</v>
      </c>
      <c r="D41" s="25" t="s">
        <v>105</v>
      </c>
      <c r="E41" s="26" t="s">
        <v>90</v>
      </c>
      <c r="F41" s="13" t="b">
        <v>1</v>
      </c>
      <c r="G41" s="13" t="b">
        <v>0</v>
      </c>
      <c r="H41" s="13" t="b">
        <v>0</v>
      </c>
      <c r="I41" s="13" t="b">
        <v>0</v>
      </c>
      <c r="J41" s="13" t="b">
        <v>0</v>
      </c>
      <c r="K41" s="76">
        <v>13</v>
      </c>
      <c r="L41" s="105">
        <f t="shared" si="0"/>
        <v>13</v>
      </c>
      <c r="M41" s="76"/>
      <c r="N41" s="198"/>
      <c r="U41" s="102"/>
    </row>
    <row r="42" spans="2:21">
      <c r="B42" s="125"/>
      <c r="C42" s="16"/>
      <c r="D42" s="25" t="s">
        <v>106</v>
      </c>
      <c r="E42" s="26" t="s">
        <v>50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05"/>
      <c r="L42" s="105">
        <f t="shared" si="0"/>
        <v>0</v>
      </c>
      <c r="M42" s="105"/>
      <c r="N42" s="198"/>
      <c r="U42" s="102"/>
    </row>
    <row r="43" spans="2:21">
      <c r="B43" s="125">
        <v>46051</v>
      </c>
      <c r="C43" s="16" t="s">
        <v>107</v>
      </c>
      <c r="D43" s="25" t="s">
        <v>108</v>
      </c>
      <c r="E43" s="26" t="s">
        <v>58</v>
      </c>
      <c r="F43" s="13" t="b">
        <v>1</v>
      </c>
      <c r="G43" s="13" t="b">
        <v>1</v>
      </c>
      <c r="H43" s="13" t="b">
        <v>0</v>
      </c>
      <c r="I43" s="13" t="b">
        <v>0</v>
      </c>
      <c r="J43" s="13" t="b">
        <v>0</v>
      </c>
      <c r="K43" s="76">
        <v>6</v>
      </c>
      <c r="L43" s="105">
        <f t="shared" si="0"/>
        <v>0</v>
      </c>
      <c r="M43" s="76">
        <v>6</v>
      </c>
      <c r="N43" s="198"/>
      <c r="U43" s="102"/>
    </row>
    <row r="44" spans="2:21" ht="27">
      <c r="B44" s="125">
        <v>46026</v>
      </c>
      <c r="C44" s="16" t="s">
        <v>51</v>
      </c>
      <c r="D44" s="25" t="s">
        <v>109</v>
      </c>
      <c r="E44" s="26" t="s">
        <v>55</v>
      </c>
      <c r="F44" s="13" t="b">
        <v>1</v>
      </c>
      <c r="G44" s="13" t="b">
        <v>1</v>
      </c>
      <c r="H44" s="13" t="b">
        <v>0</v>
      </c>
      <c r="I44" s="13" t="b">
        <v>0</v>
      </c>
      <c r="J44" s="13" t="b">
        <v>0</v>
      </c>
      <c r="K44" s="105">
        <v>22</v>
      </c>
      <c r="L44" s="105">
        <f t="shared" si="0"/>
        <v>2</v>
      </c>
      <c r="M44" s="105">
        <v>20</v>
      </c>
      <c r="N44" s="198"/>
      <c r="U44" s="102"/>
    </row>
    <row r="45" spans="2:21" ht="27">
      <c r="B45" s="125">
        <v>46026</v>
      </c>
      <c r="C45" s="16" t="s">
        <v>51</v>
      </c>
      <c r="D45" s="25" t="s">
        <v>110</v>
      </c>
      <c r="E45" s="26" t="s">
        <v>61</v>
      </c>
      <c r="F45" s="13" t="b">
        <v>1</v>
      </c>
      <c r="G45" s="13" t="b">
        <v>1</v>
      </c>
      <c r="H45" s="13" t="b">
        <v>0</v>
      </c>
      <c r="I45" s="13" t="b">
        <v>0</v>
      </c>
      <c r="J45" s="13" t="b">
        <v>0</v>
      </c>
      <c r="K45" s="76">
        <v>36</v>
      </c>
      <c r="L45" s="105">
        <f t="shared" si="0"/>
        <v>5</v>
      </c>
      <c r="M45" s="76">
        <v>31</v>
      </c>
      <c r="N45" s="198"/>
      <c r="U45" s="102"/>
    </row>
    <row r="46" spans="2:21">
      <c r="B46" s="125">
        <v>46048</v>
      </c>
      <c r="C46" s="16" t="s">
        <v>69</v>
      </c>
      <c r="D46" s="25" t="s">
        <v>111</v>
      </c>
      <c r="E46" s="26" t="s">
        <v>65</v>
      </c>
      <c r="F46" s="13" t="b">
        <v>1</v>
      </c>
      <c r="G46" s="13" t="b">
        <v>1</v>
      </c>
      <c r="H46" s="13" t="b">
        <v>0</v>
      </c>
      <c r="I46" s="13" t="b">
        <v>0</v>
      </c>
      <c r="J46" s="13" t="b">
        <v>0</v>
      </c>
      <c r="K46" s="105">
        <v>7</v>
      </c>
      <c r="L46" s="105">
        <f t="shared" si="0"/>
        <v>0</v>
      </c>
      <c r="M46" s="105">
        <v>7</v>
      </c>
      <c r="N46" s="198"/>
      <c r="U46" s="102"/>
    </row>
    <row r="47" spans="2:21">
      <c r="B47" s="125">
        <v>46027</v>
      </c>
      <c r="C47" s="16" t="s">
        <v>66</v>
      </c>
      <c r="D47" s="25" t="s">
        <v>112</v>
      </c>
      <c r="E47" s="26" t="s">
        <v>113</v>
      </c>
      <c r="F47" s="13" t="b">
        <v>1</v>
      </c>
      <c r="G47" s="13" t="b">
        <v>1</v>
      </c>
      <c r="H47" s="13" t="b">
        <v>0</v>
      </c>
      <c r="I47" s="13" t="b">
        <v>0</v>
      </c>
      <c r="J47" s="13" t="b">
        <v>0</v>
      </c>
      <c r="K47" s="76">
        <v>16</v>
      </c>
      <c r="L47" s="105">
        <f t="shared" si="0"/>
        <v>0</v>
      </c>
      <c r="M47" s="76">
        <v>16</v>
      </c>
      <c r="N47" s="198"/>
      <c r="U47" s="102"/>
    </row>
    <row r="48" spans="2:21">
      <c r="B48" s="125">
        <v>46026</v>
      </c>
      <c r="C48" s="16" t="s">
        <v>51</v>
      </c>
      <c r="D48" s="25" t="s">
        <v>114</v>
      </c>
      <c r="E48" s="26" t="s">
        <v>71</v>
      </c>
      <c r="F48" s="13" t="b">
        <v>1</v>
      </c>
      <c r="G48" s="13" t="b">
        <v>1</v>
      </c>
      <c r="H48" s="13" t="b">
        <v>0</v>
      </c>
      <c r="I48" s="13" t="b">
        <v>0</v>
      </c>
      <c r="J48" s="13" t="b">
        <v>0</v>
      </c>
      <c r="K48" s="105">
        <v>12</v>
      </c>
      <c r="L48" s="105">
        <f t="shared" si="0"/>
        <v>0</v>
      </c>
      <c r="M48" s="105">
        <v>12</v>
      </c>
      <c r="N48" s="198"/>
      <c r="U48" s="102"/>
    </row>
    <row r="49" spans="2:21">
      <c r="B49" s="125">
        <v>46027</v>
      </c>
      <c r="C49" s="16" t="s">
        <v>66</v>
      </c>
      <c r="D49" s="25" t="s">
        <v>115</v>
      </c>
      <c r="E49" s="26" t="s">
        <v>74</v>
      </c>
      <c r="F49" s="13" t="b">
        <v>1</v>
      </c>
      <c r="G49" s="13" t="b">
        <v>1</v>
      </c>
      <c r="H49" s="13" t="b">
        <v>0</v>
      </c>
      <c r="I49" s="13" t="b">
        <v>0</v>
      </c>
      <c r="J49" s="13" t="b">
        <v>0</v>
      </c>
      <c r="K49" s="76">
        <v>6</v>
      </c>
      <c r="L49" s="105">
        <f t="shared" si="0"/>
        <v>0</v>
      </c>
      <c r="M49" s="76">
        <v>6</v>
      </c>
      <c r="N49" s="198"/>
      <c r="U49" s="102"/>
    </row>
    <row r="50" spans="2:21">
      <c r="B50" s="125">
        <v>46027</v>
      </c>
      <c r="C50" s="16" t="s">
        <v>66</v>
      </c>
      <c r="D50" s="25" t="s">
        <v>116</v>
      </c>
      <c r="E50" s="26" t="s">
        <v>77</v>
      </c>
      <c r="F50" s="13" t="b">
        <v>1</v>
      </c>
      <c r="G50" s="13" t="b">
        <v>1</v>
      </c>
      <c r="H50" s="13" t="b">
        <v>0</v>
      </c>
      <c r="I50" s="13" t="b">
        <v>0</v>
      </c>
      <c r="J50" s="13" t="b">
        <v>0</v>
      </c>
      <c r="K50" s="105">
        <v>13</v>
      </c>
      <c r="L50" s="105">
        <f t="shared" si="0"/>
        <v>4</v>
      </c>
      <c r="M50" s="105">
        <v>9</v>
      </c>
      <c r="N50" s="198"/>
      <c r="U50" s="102"/>
    </row>
    <row r="51" spans="2:21" ht="15" customHeight="1">
      <c r="B51" s="125"/>
      <c r="C51" s="16"/>
      <c r="D51" s="25" t="s">
        <v>117</v>
      </c>
      <c r="E51" s="26" t="s">
        <v>80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76"/>
      <c r="L51" s="105">
        <f t="shared" si="0"/>
        <v>0</v>
      </c>
      <c r="M51" s="76"/>
      <c r="N51" s="198"/>
      <c r="O51" s="218" t="s">
        <v>25</v>
      </c>
      <c r="P51" s="219"/>
      <c r="R51" s="218" t="s">
        <v>29</v>
      </c>
      <c r="S51" s="219"/>
      <c r="U51" s="102"/>
    </row>
    <row r="52" spans="2:21">
      <c r="B52" s="125"/>
      <c r="C52" s="16"/>
      <c r="D52" s="25" t="s">
        <v>118</v>
      </c>
      <c r="E52" s="26" t="s">
        <v>83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05"/>
      <c r="L52" s="105">
        <f t="shared" si="0"/>
        <v>0</v>
      </c>
      <c r="M52" s="105"/>
      <c r="N52" s="198"/>
      <c r="O52" s="220"/>
      <c r="P52" s="221"/>
      <c r="R52" s="220"/>
      <c r="S52" s="221"/>
      <c r="U52" s="103"/>
    </row>
    <row r="53" spans="2:21">
      <c r="B53" s="125"/>
      <c r="C53" s="16"/>
      <c r="D53" s="25" t="s">
        <v>119</v>
      </c>
      <c r="E53" s="26" t="s">
        <v>80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76"/>
      <c r="L53" s="105">
        <f t="shared" si="0"/>
        <v>0</v>
      </c>
      <c r="M53" s="76"/>
      <c r="N53" s="198"/>
      <c r="O53" s="222"/>
      <c r="P53" s="223"/>
      <c r="Q53" s="193"/>
      <c r="R53" s="222"/>
      <c r="S53" s="223"/>
    </row>
    <row r="54" spans="2:21" ht="15.75">
      <c r="B54" s="125"/>
      <c r="C54" s="16"/>
      <c r="D54" s="25" t="s">
        <v>120</v>
      </c>
      <c r="E54" s="26" t="s">
        <v>121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05"/>
      <c r="L54" s="105">
        <f t="shared" si="0"/>
        <v>0</v>
      </c>
      <c r="M54" s="105"/>
      <c r="N54" s="198"/>
      <c r="O54" s="199" t="s">
        <v>26</v>
      </c>
      <c r="P54" s="200">
        <f>P55+P56</f>
        <v>77</v>
      </c>
      <c r="Q54" s="81"/>
      <c r="R54" s="127" t="s">
        <v>26</v>
      </c>
      <c r="S54" s="128">
        <f>S55+S56</f>
        <v>77</v>
      </c>
    </row>
    <row r="55" spans="2:21" ht="15.75">
      <c r="B55" s="125"/>
      <c r="C55" s="16"/>
      <c r="D55" s="25" t="s">
        <v>122</v>
      </c>
      <c r="E55" s="26" t="s">
        <v>58</v>
      </c>
      <c r="F55" s="13" t="b">
        <v>0</v>
      </c>
      <c r="G55" s="13" t="b">
        <v>0</v>
      </c>
      <c r="H55" s="13" t="b">
        <v>0</v>
      </c>
      <c r="I55" s="13" t="b">
        <v>0</v>
      </c>
      <c r="J55" s="13" t="b">
        <v>0</v>
      </c>
      <c r="K55" s="76"/>
      <c r="L55" s="105">
        <f t="shared" si="0"/>
        <v>0</v>
      </c>
      <c r="M55" s="76"/>
      <c r="N55" s="198"/>
      <c r="O55" s="194" t="s">
        <v>27</v>
      </c>
      <c r="P55" s="196">
        <f>COUNTIFS(F18:F94,TRUE)</f>
        <v>52</v>
      </c>
      <c r="Q55" s="81"/>
      <c r="R55" s="116" t="s">
        <v>27</v>
      </c>
      <c r="S55" s="119">
        <f>COUNTIFS(G18:G94,TRUE)</f>
        <v>21</v>
      </c>
    </row>
    <row r="56" spans="2:21" ht="15.75">
      <c r="B56" s="125"/>
      <c r="C56" s="16"/>
      <c r="D56" s="25" t="s">
        <v>123</v>
      </c>
      <c r="E56" s="26" t="s">
        <v>124</v>
      </c>
      <c r="F56" s="13" t="b">
        <v>0</v>
      </c>
      <c r="G56" s="13" t="b">
        <v>0</v>
      </c>
      <c r="H56" s="13" t="b">
        <v>0</v>
      </c>
      <c r="I56" s="13" t="b">
        <v>0</v>
      </c>
      <c r="J56" s="13" t="b">
        <v>0</v>
      </c>
      <c r="K56" s="105"/>
      <c r="L56" s="105">
        <f t="shared" si="0"/>
        <v>0</v>
      </c>
      <c r="M56" s="105"/>
      <c r="N56" s="198"/>
      <c r="O56" s="195" t="s">
        <v>28</v>
      </c>
      <c r="P56" s="197">
        <f>COUNTIFS(F18:F94,FALSE)</f>
        <v>25</v>
      </c>
      <c r="R56" s="117" t="s">
        <v>28</v>
      </c>
      <c r="S56" s="120">
        <f>COUNTIFS(G18:G94,FALSE)</f>
        <v>56</v>
      </c>
    </row>
    <row r="57" spans="2:21">
      <c r="B57" s="125">
        <v>46048</v>
      </c>
      <c r="C57" s="16" t="s">
        <v>69</v>
      </c>
      <c r="D57" s="25" t="s">
        <v>125</v>
      </c>
      <c r="E57" s="26" t="s">
        <v>98</v>
      </c>
      <c r="F57" s="13" t="b">
        <v>1</v>
      </c>
      <c r="G57" s="13" t="b">
        <v>0</v>
      </c>
      <c r="H57" s="13" t="b">
        <v>0</v>
      </c>
      <c r="I57" s="13" t="b">
        <v>0</v>
      </c>
      <c r="J57" s="13" t="b">
        <v>0</v>
      </c>
      <c r="K57" s="76">
        <v>19</v>
      </c>
      <c r="L57" s="105">
        <f t="shared" si="0"/>
        <v>19</v>
      </c>
      <c r="M57" s="76"/>
      <c r="N57" s="198"/>
    </row>
    <row r="58" spans="2:21">
      <c r="B58" s="125">
        <v>46030</v>
      </c>
      <c r="C58" s="16" t="s">
        <v>66</v>
      </c>
      <c r="D58" s="25" t="s">
        <v>126</v>
      </c>
      <c r="E58" s="26" t="s">
        <v>90</v>
      </c>
      <c r="F58" s="13" t="b">
        <v>1</v>
      </c>
      <c r="G58" s="13" t="b">
        <v>0</v>
      </c>
      <c r="H58" s="13" t="b">
        <v>0</v>
      </c>
      <c r="I58" s="13" t="b">
        <v>0</v>
      </c>
      <c r="J58" s="13" t="b">
        <v>0</v>
      </c>
      <c r="K58" s="105">
        <v>16</v>
      </c>
      <c r="L58" s="105">
        <f t="shared" si="0"/>
        <v>8</v>
      </c>
      <c r="M58" s="105">
        <v>8</v>
      </c>
      <c r="N58" s="198"/>
    </row>
    <row r="59" spans="2:21">
      <c r="B59" s="125">
        <v>46030</v>
      </c>
      <c r="C59" s="16" t="s">
        <v>85</v>
      </c>
      <c r="D59" s="25" t="s">
        <v>127</v>
      </c>
      <c r="E59" s="26" t="s">
        <v>93</v>
      </c>
      <c r="F59" s="13" t="b">
        <v>1</v>
      </c>
      <c r="G59" s="13" t="b">
        <v>0</v>
      </c>
      <c r="H59" s="13" t="b">
        <v>0</v>
      </c>
      <c r="I59" s="13" t="b">
        <v>0</v>
      </c>
      <c r="J59" s="13" t="b">
        <v>0</v>
      </c>
      <c r="K59" s="76">
        <v>15</v>
      </c>
      <c r="L59" s="105">
        <f t="shared" si="0"/>
        <v>1</v>
      </c>
      <c r="M59" s="76">
        <v>14</v>
      </c>
      <c r="N59" s="198"/>
    </row>
    <row r="60" spans="2:21">
      <c r="B60" s="125"/>
      <c r="C60" s="16"/>
      <c r="D60" s="25" t="s">
        <v>128</v>
      </c>
      <c r="E60" s="26" t="s">
        <v>129</v>
      </c>
      <c r="F60" s="13" t="b">
        <v>0</v>
      </c>
      <c r="G60" s="13" t="b">
        <v>0</v>
      </c>
      <c r="H60" s="13" t="b">
        <v>0</v>
      </c>
      <c r="I60" s="13" t="b">
        <v>0</v>
      </c>
      <c r="J60" s="13" t="b">
        <v>0</v>
      </c>
      <c r="K60" s="105"/>
      <c r="L60" s="105">
        <f t="shared" si="0"/>
        <v>0</v>
      </c>
      <c r="M60" s="105"/>
      <c r="N60" s="198"/>
    </row>
    <row r="61" spans="2:21">
      <c r="B61" s="125"/>
      <c r="C61" s="16"/>
      <c r="D61" s="25" t="s">
        <v>130</v>
      </c>
      <c r="E61" s="26" t="s">
        <v>50</v>
      </c>
      <c r="F61" s="13" t="b">
        <v>0</v>
      </c>
      <c r="G61" s="13" t="b">
        <v>0</v>
      </c>
      <c r="H61" s="13" t="b">
        <v>0</v>
      </c>
      <c r="I61" s="13" t="b">
        <v>0</v>
      </c>
      <c r="J61" s="13" t="b">
        <v>0</v>
      </c>
      <c r="K61" s="76"/>
      <c r="L61" s="105">
        <f t="shared" si="0"/>
        <v>0</v>
      </c>
      <c r="M61" s="76"/>
      <c r="N61" s="198"/>
    </row>
    <row r="62" spans="2:21">
      <c r="B62" s="125"/>
      <c r="C62" s="16"/>
      <c r="D62" s="25" t="s">
        <v>131</v>
      </c>
      <c r="E62" s="26" t="s">
        <v>50</v>
      </c>
      <c r="F62" s="13" t="b">
        <v>0</v>
      </c>
      <c r="G62" s="13" t="b">
        <v>0</v>
      </c>
      <c r="H62" s="13" t="b">
        <v>0</v>
      </c>
      <c r="I62" s="13" t="b">
        <v>0</v>
      </c>
      <c r="J62" s="13" t="b">
        <v>0</v>
      </c>
      <c r="K62" s="105"/>
      <c r="L62" s="105">
        <f t="shared" si="0"/>
        <v>0</v>
      </c>
      <c r="M62" s="105"/>
      <c r="N62" s="198"/>
    </row>
    <row r="63" spans="2:21">
      <c r="B63" s="125">
        <v>46026</v>
      </c>
      <c r="C63" s="16" t="s">
        <v>51</v>
      </c>
      <c r="D63" s="31" t="s">
        <v>967</v>
      </c>
      <c r="E63" s="26" t="s">
        <v>133</v>
      </c>
      <c r="F63" s="13" t="b">
        <v>1</v>
      </c>
      <c r="G63" s="13" t="b">
        <v>1</v>
      </c>
      <c r="H63" s="13" t="b">
        <v>0</v>
      </c>
      <c r="I63" s="13" t="b">
        <v>0</v>
      </c>
      <c r="J63" s="13" t="b">
        <v>0</v>
      </c>
      <c r="K63" s="76">
        <v>17</v>
      </c>
      <c r="L63" s="105">
        <f t="shared" si="0"/>
        <v>0</v>
      </c>
      <c r="M63" s="76">
        <v>17</v>
      </c>
      <c r="N63" s="198"/>
    </row>
    <row r="64" spans="2:21">
      <c r="B64" s="125">
        <v>46026</v>
      </c>
      <c r="C64" s="16" t="s">
        <v>51</v>
      </c>
      <c r="D64" s="31" t="s">
        <v>968</v>
      </c>
      <c r="E64" s="26" t="s">
        <v>135</v>
      </c>
      <c r="F64" s="13" t="b">
        <v>1</v>
      </c>
      <c r="G64" s="13" t="b">
        <v>1</v>
      </c>
      <c r="H64" s="13" t="b">
        <v>0</v>
      </c>
      <c r="I64" s="13" t="b">
        <v>0</v>
      </c>
      <c r="J64" s="13" t="b">
        <v>0</v>
      </c>
      <c r="K64" s="105">
        <v>14</v>
      </c>
      <c r="L64" s="105">
        <f t="shared" si="0"/>
        <v>0</v>
      </c>
      <c r="M64" s="105">
        <v>14</v>
      </c>
      <c r="N64" s="198"/>
    </row>
    <row r="65" spans="2:14">
      <c r="B65" s="125">
        <v>46069</v>
      </c>
      <c r="C65" s="16" t="s">
        <v>85</v>
      </c>
      <c r="D65" s="31" t="s">
        <v>969</v>
      </c>
      <c r="E65" s="26" t="s">
        <v>137</v>
      </c>
      <c r="F65" s="13" t="b">
        <v>1</v>
      </c>
      <c r="G65" s="13" t="b">
        <v>1</v>
      </c>
      <c r="H65" s="13" t="b">
        <v>0</v>
      </c>
      <c r="I65" s="13" t="b">
        <v>0</v>
      </c>
      <c r="J65" s="13" t="b">
        <v>0</v>
      </c>
      <c r="K65" s="76">
        <v>17</v>
      </c>
      <c r="L65" s="105">
        <f t="shared" si="0"/>
        <v>1</v>
      </c>
      <c r="M65" s="76">
        <v>16</v>
      </c>
      <c r="N65" s="198"/>
    </row>
    <row r="66" spans="2:14" ht="27">
      <c r="B66" s="125">
        <v>46027</v>
      </c>
      <c r="C66" s="16" t="s">
        <v>56</v>
      </c>
      <c r="D66" s="25" t="s">
        <v>138</v>
      </c>
      <c r="E66" s="29" t="s">
        <v>139</v>
      </c>
      <c r="F66" s="13" t="b">
        <v>1</v>
      </c>
      <c r="G66" s="13" t="b">
        <v>1</v>
      </c>
      <c r="H66" s="13" t="b">
        <v>0</v>
      </c>
      <c r="I66" s="13" t="b">
        <v>0</v>
      </c>
      <c r="J66" s="13" t="b">
        <v>0</v>
      </c>
      <c r="K66" s="105">
        <v>41</v>
      </c>
      <c r="L66" s="105">
        <f t="shared" si="0"/>
        <v>3</v>
      </c>
      <c r="M66" s="105">
        <v>38</v>
      </c>
      <c r="N66" s="198"/>
    </row>
    <row r="67" spans="2:14" ht="27">
      <c r="B67" s="125">
        <v>46027</v>
      </c>
      <c r="C67" s="16" t="s">
        <v>75</v>
      </c>
      <c r="D67" s="25" t="s">
        <v>140</v>
      </c>
      <c r="E67" s="26" t="s">
        <v>141</v>
      </c>
      <c r="F67" s="13" t="b">
        <v>1</v>
      </c>
      <c r="G67" s="13" t="b">
        <v>1</v>
      </c>
      <c r="H67" s="13" t="b">
        <v>0</v>
      </c>
      <c r="I67" s="13" t="b">
        <v>0</v>
      </c>
      <c r="J67" s="13" t="b">
        <v>0</v>
      </c>
      <c r="K67" s="76">
        <v>9</v>
      </c>
      <c r="L67" s="105">
        <f t="shared" si="0"/>
        <v>1</v>
      </c>
      <c r="M67" s="76">
        <v>8</v>
      </c>
      <c r="N67" s="198"/>
    </row>
    <row r="68" spans="2:14">
      <c r="B68" s="125">
        <v>46026</v>
      </c>
      <c r="C68" s="16" t="s">
        <v>51</v>
      </c>
      <c r="D68" s="25" t="s">
        <v>142</v>
      </c>
      <c r="E68" s="26" t="s">
        <v>74</v>
      </c>
      <c r="F68" s="13" t="b">
        <v>1</v>
      </c>
      <c r="G68" s="13" t="b">
        <v>1</v>
      </c>
      <c r="H68" s="13" t="b">
        <v>0</v>
      </c>
      <c r="I68" s="13" t="b">
        <v>0</v>
      </c>
      <c r="J68" s="13" t="b">
        <v>0</v>
      </c>
      <c r="K68" s="105">
        <v>14</v>
      </c>
      <c r="L68" s="105">
        <f t="shared" si="0"/>
        <v>0</v>
      </c>
      <c r="M68" s="105">
        <v>14</v>
      </c>
      <c r="N68" s="198"/>
    </row>
    <row r="69" spans="2:14">
      <c r="B69" s="125">
        <v>46048</v>
      </c>
      <c r="C69" s="16" t="s">
        <v>56</v>
      </c>
      <c r="D69" s="25" t="s">
        <v>143</v>
      </c>
      <c r="E69" s="26" t="s">
        <v>65</v>
      </c>
      <c r="F69" s="13" t="b">
        <v>1</v>
      </c>
      <c r="G69" s="13" t="b">
        <v>1</v>
      </c>
      <c r="H69" s="13" t="b">
        <v>0</v>
      </c>
      <c r="I69" s="13" t="b">
        <v>0</v>
      </c>
      <c r="J69" s="13" t="b">
        <v>0</v>
      </c>
      <c r="K69" s="76">
        <v>13</v>
      </c>
      <c r="L69" s="105">
        <f t="shared" si="0"/>
        <v>1</v>
      </c>
      <c r="M69" s="76">
        <v>12</v>
      </c>
      <c r="N69" s="198"/>
    </row>
    <row r="70" spans="2:14">
      <c r="B70" s="125">
        <v>46026</v>
      </c>
      <c r="C70" s="16" t="s">
        <v>51</v>
      </c>
      <c r="D70" s="25" t="s">
        <v>144</v>
      </c>
      <c r="E70" s="26" t="s">
        <v>68</v>
      </c>
      <c r="F70" s="13" t="b">
        <v>1</v>
      </c>
      <c r="G70" s="13" t="b">
        <v>1</v>
      </c>
      <c r="H70" s="13" t="b">
        <v>0</v>
      </c>
      <c r="I70" s="13" t="b">
        <v>0</v>
      </c>
      <c r="J70" s="13" t="b">
        <v>0</v>
      </c>
      <c r="K70" s="105">
        <v>12</v>
      </c>
      <c r="L70" s="105">
        <f t="shared" si="0"/>
        <v>2</v>
      </c>
      <c r="M70" s="105">
        <v>10</v>
      </c>
      <c r="N70" s="198"/>
    </row>
    <row r="71" spans="2:14">
      <c r="B71" s="125">
        <v>46027</v>
      </c>
      <c r="C71" s="16" t="s">
        <v>51</v>
      </c>
      <c r="D71" s="25" t="s">
        <v>145</v>
      </c>
      <c r="E71" s="26" t="s">
        <v>71</v>
      </c>
      <c r="F71" s="13" t="b">
        <v>1</v>
      </c>
      <c r="G71" s="13" t="b">
        <v>1</v>
      </c>
      <c r="H71" s="13" t="b">
        <v>0</v>
      </c>
      <c r="I71" s="13" t="b">
        <v>0</v>
      </c>
      <c r="J71" s="13" t="b">
        <v>0</v>
      </c>
      <c r="K71" s="76">
        <v>8</v>
      </c>
      <c r="L71" s="105">
        <f t="shared" si="0"/>
        <v>0</v>
      </c>
      <c r="M71" s="76">
        <v>8</v>
      </c>
      <c r="N71" s="198"/>
    </row>
    <row r="72" spans="2:14">
      <c r="B72" s="125">
        <v>46026</v>
      </c>
      <c r="C72" s="16" t="s">
        <v>51</v>
      </c>
      <c r="D72" s="25" t="s">
        <v>146</v>
      </c>
      <c r="E72" s="26" t="s">
        <v>77</v>
      </c>
      <c r="F72" s="13" t="b">
        <v>1</v>
      </c>
      <c r="G72" s="13" t="b">
        <v>1</v>
      </c>
      <c r="H72" s="13" t="b">
        <v>0</v>
      </c>
      <c r="I72" s="13" t="b">
        <v>0</v>
      </c>
      <c r="J72" s="13" t="b">
        <v>0</v>
      </c>
      <c r="K72" s="105">
        <v>15</v>
      </c>
      <c r="L72" s="105">
        <f t="shared" si="0"/>
        <v>1</v>
      </c>
      <c r="M72" s="105">
        <v>14</v>
      </c>
      <c r="N72" s="198"/>
    </row>
    <row r="73" spans="2:14">
      <c r="B73" s="125">
        <v>46125</v>
      </c>
      <c r="C73" s="16" t="s">
        <v>85</v>
      </c>
      <c r="D73" s="25" t="s">
        <v>147</v>
      </c>
      <c r="E73" s="202" t="s">
        <v>58</v>
      </c>
      <c r="F73" s="13" t="b">
        <v>1</v>
      </c>
      <c r="G73" s="13" t="b">
        <v>0</v>
      </c>
      <c r="H73" s="13" t="b">
        <v>0</v>
      </c>
      <c r="I73" s="13" t="b">
        <v>0</v>
      </c>
      <c r="J73" s="13" t="b">
        <v>0</v>
      </c>
      <c r="K73" s="76">
        <v>1</v>
      </c>
      <c r="L73" s="105">
        <f t="shared" si="0"/>
        <v>0</v>
      </c>
      <c r="M73" s="76">
        <v>1</v>
      </c>
      <c r="N73" s="198"/>
    </row>
    <row r="74" spans="2:14">
      <c r="B74" s="125"/>
      <c r="C74" s="16"/>
      <c r="D74" s="25" t="s">
        <v>148</v>
      </c>
      <c r="E74" s="26" t="s">
        <v>80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105"/>
      <c r="L74" s="105">
        <f t="shared" si="0"/>
        <v>0</v>
      </c>
      <c r="M74" s="105"/>
      <c r="N74" s="198"/>
    </row>
    <row r="75" spans="2:14">
      <c r="B75" s="125"/>
      <c r="C75" s="16"/>
      <c r="D75" s="25" t="s">
        <v>149</v>
      </c>
      <c r="E75" s="26" t="s">
        <v>83</v>
      </c>
      <c r="F75" s="13" t="b">
        <v>0</v>
      </c>
      <c r="G75" s="13" t="b">
        <v>0</v>
      </c>
      <c r="H75" s="13" t="b">
        <v>0</v>
      </c>
      <c r="I75" s="13" t="b">
        <v>0</v>
      </c>
      <c r="J75" s="13" t="b">
        <v>0</v>
      </c>
      <c r="K75" s="76"/>
      <c r="L75" s="105">
        <f t="shared" si="0"/>
        <v>0</v>
      </c>
      <c r="M75" s="76"/>
      <c r="N75" s="198"/>
    </row>
    <row r="76" spans="2:14">
      <c r="B76" s="125"/>
      <c r="C76" s="16"/>
      <c r="D76" s="25" t="s">
        <v>150</v>
      </c>
      <c r="E76" s="26" t="s">
        <v>80</v>
      </c>
      <c r="F76" s="13" t="b">
        <v>0</v>
      </c>
      <c r="G76" s="13" t="b">
        <v>0</v>
      </c>
      <c r="H76" s="13" t="b">
        <v>0</v>
      </c>
      <c r="I76" s="13" t="b">
        <v>0</v>
      </c>
      <c r="J76" s="13" t="b">
        <v>0</v>
      </c>
      <c r="K76" s="105"/>
      <c r="L76" s="105">
        <f t="shared" si="0"/>
        <v>0</v>
      </c>
      <c r="M76" s="105"/>
      <c r="N76" s="198"/>
    </row>
    <row r="77" spans="2:14">
      <c r="B77" s="125"/>
      <c r="C77" s="16"/>
      <c r="D77" s="25" t="s">
        <v>151</v>
      </c>
      <c r="E77" s="26" t="s">
        <v>152</v>
      </c>
      <c r="F77" s="13" t="b">
        <v>0</v>
      </c>
      <c r="G77" s="13" t="b">
        <v>0</v>
      </c>
      <c r="H77" s="13" t="b">
        <v>0</v>
      </c>
      <c r="I77" s="13" t="b">
        <v>0</v>
      </c>
      <c r="J77" s="13" t="b">
        <v>0</v>
      </c>
      <c r="K77" s="76"/>
      <c r="L77" s="105">
        <f t="shared" si="0"/>
        <v>0</v>
      </c>
      <c r="M77" s="76"/>
      <c r="N77" s="198"/>
    </row>
    <row r="78" spans="2:14">
      <c r="B78" s="125">
        <v>46141</v>
      </c>
      <c r="C78" s="16" t="s">
        <v>66</v>
      </c>
      <c r="D78" s="25" t="s">
        <v>153</v>
      </c>
      <c r="E78" s="26" t="s">
        <v>154</v>
      </c>
      <c r="F78" s="13" t="b">
        <v>1</v>
      </c>
      <c r="G78" s="13" t="b">
        <v>0</v>
      </c>
      <c r="H78" s="13" t="b">
        <v>0</v>
      </c>
      <c r="I78" s="13" t="b">
        <v>0</v>
      </c>
      <c r="J78" s="13" t="b">
        <v>0</v>
      </c>
      <c r="K78" s="105">
        <v>8</v>
      </c>
      <c r="L78" s="105">
        <f t="shared" si="0"/>
        <v>8</v>
      </c>
      <c r="M78" s="105"/>
      <c r="N78" s="198"/>
    </row>
    <row r="79" spans="2:14">
      <c r="B79" s="125">
        <v>46048</v>
      </c>
      <c r="C79" s="16" t="s">
        <v>66</v>
      </c>
      <c r="D79" s="25" t="s">
        <v>155</v>
      </c>
      <c r="E79" s="26" t="s">
        <v>98</v>
      </c>
      <c r="F79" s="13" t="b">
        <v>1</v>
      </c>
      <c r="G79" s="13" t="b">
        <v>0</v>
      </c>
      <c r="H79" s="13" t="b">
        <v>0</v>
      </c>
      <c r="I79" s="13" t="b">
        <v>0</v>
      </c>
      <c r="J79" s="13" t="b">
        <v>0</v>
      </c>
      <c r="K79" s="76">
        <v>9</v>
      </c>
      <c r="L79" s="105">
        <f t="shared" si="0"/>
        <v>9</v>
      </c>
      <c r="M79" s="76"/>
      <c r="N79" s="198"/>
    </row>
    <row r="80" spans="2:14">
      <c r="B80" s="125"/>
      <c r="C80" s="16"/>
      <c r="D80" s="25" t="s">
        <v>156</v>
      </c>
      <c r="E80" s="26" t="s">
        <v>157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105"/>
      <c r="L80" s="105">
        <f t="shared" si="0"/>
        <v>0</v>
      </c>
      <c r="M80" s="105"/>
      <c r="N80" s="198"/>
    </row>
    <row r="81" spans="2:14">
      <c r="B81" s="125"/>
      <c r="C81" s="16"/>
      <c r="D81" s="25" t="s">
        <v>158</v>
      </c>
      <c r="E81" s="26" t="s">
        <v>58</v>
      </c>
      <c r="F81" s="13" t="b">
        <v>0</v>
      </c>
      <c r="G81" s="13" t="b">
        <v>0</v>
      </c>
      <c r="H81" s="13" t="b">
        <v>0</v>
      </c>
      <c r="I81" s="13" t="b">
        <v>0</v>
      </c>
      <c r="J81" s="13" t="b">
        <v>0</v>
      </c>
      <c r="K81" s="76"/>
      <c r="L81" s="105">
        <f t="shared" si="0"/>
        <v>0</v>
      </c>
      <c r="M81" s="76"/>
      <c r="N81" s="198"/>
    </row>
    <row r="82" spans="2:14">
      <c r="B82" s="125">
        <v>46030</v>
      </c>
      <c r="C82" s="16" t="s">
        <v>66</v>
      </c>
      <c r="D82" s="25" t="s">
        <v>159</v>
      </c>
      <c r="E82" s="26" t="s">
        <v>90</v>
      </c>
      <c r="F82" s="13" t="b">
        <v>1</v>
      </c>
      <c r="G82" s="13" t="b">
        <v>0</v>
      </c>
      <c r="H82" s="13" t="b">
        <v>0</v>
      </c>
      <c r="I82" s="13" t="b">
        <v>0</v>
      </c>
      <c r="J82" s="13" t="b">
        <v>0</v>
      </c>
      <c r="K82" s="105">
        <v>17</v>
      </c>
      <c r="L82" s="105">
        <f t="shared" ref="L82:L94" si="1">K82-M82</f>
        <v>9</v>
      </c>
      <c r="M82" s="105">
        <v>8</v>
      </c>
      <c r="N82" s="198"/>
    </row>
    <row r="83" spans="2:14">
      <c r="B83" s="125"/>
      <c r="C83" s="192"/>
      <c r="D83" s="25" t="s">
        <v>159</v>
      </c>
      <c r="E83" s="26" t="s">
        <v>93</v>
      </c>
      <c r="F83" s="13" t="b">
        <v>0</v>
      </c>
      <c r="G83" s="13" t="b">
        <v>0</v>
      </c>
      <c r="H83" s="13" t="b">
        <v>0</v>
      </c>
      <c r="I83" s="13" t="b">
        <v>0</v>
      </c>
      <c r="J83" s="13" t="b">
        <v>0</v>
      </c>
      <c r="K83" s="76"/>
      <c r="L83" s="105">
        <f t="shared" si="1"/>
        <v>0</v>
      </c>
      <c r="M83" s="76"/>
      <c r="N83" s="198"/>
    </row>
    <row r="84" spans="2:14">
      <c r="B84" s="125">
        <v>46030</v>
      </c>
      <c r="C84" s="16" t="s">
        <v>85</v>
      </c>
      <c r="D84" s="25" t="s">
        <v>160</v>
      </c>
      <c r="E84" s="26" t="s">
        <v>93</v>
      </c>
      <c r="F84" s="13" t="b">
        <v>1</v>
      </c>
      <c r="G84" s="13" t="b">
        <v>0</v>
      </c>
      <c r="H84" s="13" t="b">
        <v>0</v>
      </c>
      <c r="I84" s="13" t="b">
        <v>0</v>
      </c>
      <c r="J84" s="13" t="b">
        <v>0</v>
      </c>
      <c r="K84" s="105">
        <v>16</v>
      </c>
      <c r="L84" s="105">
        <f t="shared" si="1"/>
        <v>1</v>
      </c>
      <c r="M84" s="105">
        <v>15</v>
      </c>
      <c r="N84" s="198"/>
    </row>
    <row r="85" spans="2:14">
      <c r="B85" s="125">
        <v>46142</v>
      </c>
      <c r="C85" s="16" t="s">
        <v>107</v>
      </c>
      <c r="D85" s="25" t="s">
        <v>161</v>
      </c>
      <c r="E85" s="26" t="s">
        <v>154</v>
      </c>
      <c r="F85" s="13" t="b">
        <v>1</v>
      </c>
      <c r="G85" s="13" t="b">
        <v>0</v>
      </c>
      <c r="H85" s="13" t="b">
        <v>0</v>
      </c>
      <c r="I85" s="13" t="b">
        <v>0</v>
      </c>
      <c r="J85" s="13" t="b">
        <v>0</v>
      </c>
      <c r="K85" s="76"/>
      <c r="L85" s="105">
        <f t="shared" si="1"/>
        <v>0</v>
      </c>
      <c r="M85" s="76"/>
      <c r="N85" s="198"/>
    </row>
    <row r="86" spans="2:14">
      <c r="B86" s="125">
        <v>46048</v>
      </c>
      <c r="C86" s="16" t="s">
        <v>85</v>
      </c>
      <c r="D86" s="25" t="s">
        <v>162</v>
      </c>
      <c r="E86" s="26" t="s">
        <v>154</v>
      </c>
      <c r="F86" s="13" t="b">
        <v>1</v>
      </c>
      <c r="G86" s="13" t="b">
        <v>0</v>
      </c>
      <c r="H86" s="13" t="b">
        <v>0</v>
      </c>
      <c r="I86" s="13" t="b">
        <v>0</v>
      </c>
      <c r="J86" s="13" t="b">
        <v>0</v>
      </c>
      <c r="K86" s="105">
        <v>11</v>
      </c>
      <c r="L86" s="105">
        <f t="shared" si="1"/>
        <v>11</v>
      </c>
      <c r="M86" s="105"/>
      <c r="N86" s="198"/>
    </row>
    <row r="87" spans="2:14">
      <c r="B87" s="125">
        <v>46048</v>
      </c>
      <c r="C87" s="192" t="s">
        <v>56</v>
      </c>
      <c r="D87" s="25" t="s">
        <v>163</v>
      </c>
      <c r="E87" s="26" t="s">
        <v>154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76">
        <v>5</v>
      </c>
      <c r="L87" s="105">
        <f t="shared" si="1"/>
        <v>5</v>
      </c>
      <c r="M87" s="76"/>
      <c r="N87" s="198"/>
    </row>
    <row r="88" spans="2:14">
      <c r="B88" s="125">
        <v>46048</v>
      </c>
      <c r="C88" s="16" t="s">
        <v>85</v>
      </c>
      <c r="D88" s="25" t="s">
        <v>164</v>
      </c>
      <c r="E88" s="26" t="s">
        <v>165</v>
      </c>
      <c r="F88" s="13" t="b">
        <v>1</v>
      </c>
      <c r="G88" s="13" t="b">
        <v>0</v>
      </c>
      <c r="H88" s="13" t="b">
        <v>0</v>
      </c>
      <c r="I88" s="13" t="b">
        <v>0</v>
      </c>
      <c r="J88" s="13" t="b">
        <v>0</v>
      </c>
      <c r="K88" s="105">
        <v>7</v>
      </c>
      <c r="L88" s="105">
        <f t="shared" si="1"/>
        <v>7</v>
      </c>
      <c r="M88" s="105"/>
      <c r="N88" s="198"/>
    </row>
    <row r="89" spans="2:14">
      <c r="B89" s="125"/>
      <c r="C89" s="192"/>
      <c r="D89" s="25" t="s">
        <v>166</v>
      </c>
      <c r="E89" s="26" t="s">
        <v>167</v>
      </c>
      <c r="F89" s="13" t="b">
        <v>1</v>
      </c>
      <c r="G89" s="13" t="b">
        <v>0</v>
      </c>
      <c r="H89" s="13" t="b">
        <v>0</v>
      </c>
      <c r="I89" s="13" t="b">
        <v>0</v>
      </c>
      <c r="J89" s="13" t="b">
        <v>0</v>
      </c>
      <c r="K89" s="76"/>
      <c r="L89" s="105">
        <f t="shared" si="1"/>
        <v>0</v>
      </c>
      <c r="M89" s="76"/>
      <c r="N89" s="81"/>
    </row>
    <row r="90" spans="2:14">
      <c r="B90" s="125">
        <v>46048</v>
      </c>
      <c r="C90" s="16" t="s">
        <v>85</v>
      </c>
      <c r="D90" s="25" t="s">
        <v>168</v>
      </c>
      <c r="E90" s="26" t="s">
        <v>169</v>
      </c>
      <c r="F90" s="13" t="b">
        <v>1</v>
      </c>
      <c r="G90" s="13" t="b">
        <v>0</v>
      </c>
      <c r="H90" s="13" t="b">
        <v>0</v>
      </c>
      <c r="I90" s="13" t="b">
        <v>0</v>
      </c>
      <c r="J90" s="13" t="b">
        <v>0</v>
      </c>
      <c r="K90" s="105">
        <v>4</v>
      </c>
      <c r="L90" s="105">
        <f t="shared" si="1"/>
        <v>4</v>
      </c>
      <c r="M90" s="105"/>
    </row>
    <row r="91" spans="2:14">
      <c r="B91" s="125"/>
      <c r="C91" s="192"/>
      <c r="D91" s="25" t="s">
        <v>170</v>
      </c>
      <c r="E91" s="26" t="s">
        <v>171</v>
      </c>
      <c r="F91" s="13" t="b">
        <v>1</v>
      </c>
      <c r="G91" s="13" t="b">
        <v>0</v>
      </c>
      <c r="H91" s="13" t="b">
        <v>0</v>
      </c>
      <c r="I91" s="13" t="b">
        <v>0</v>
      </c>
      <c r="J91" s="13" t="b">
        <v>0</v>
      </c>
      <c r="K91" s="76"/>
      <c r="L91" s="105">
        <f t="shared" si="1"/>
        <v>0</v>
      </c>
      <c r="M91" s="76"/>
    </row>
    <row r="92" spans="2:14">
      <c r="B92" s="125">
        <v>46048</v>
      </c>
      <c r="C92" s="16" t="s">
        <v>85</v>
      </c>
      <c r="D92" s="25" t="s">
        <v>172</v>
      </c>
      <c r="E92" s="26" t="s">
        <v>173</v>
      </c>
      <c r="F92" s="13" t="b">
        <v>1</v>
      </c>
      <c r="G92" s="13" t="b">
        <v>0</v>
      </c>
      <c r="H92" s="13" t="b">
        <v>0</v>
      </c>
      <c r="I92" s="13" t="b">
        <v>0</v>
      </c>
      <c r="J92" s="13" t="b">
        <v>0</v>
      </c>
      <c r="K92" s="105">
        <v>5</v>
      </c>
      <c r="L92" s="105">
        <f t="shared" si="1"/>
        <v>5</v>
      </c>
      <c r="M92" s="105"/>
    </row>
    <row r="93" spans="2:14">
      <c r="B93" s="125"/>
      <c r="C93" s="192"/>
      <c r="D93" s="25" t="s">
        <v>174</v>
      </c>
      <c r="E93" s="26" t="s">
        <v>175</v>
      </c>
      <c r="F93" s="13" t="b">
        <v>1</v>
      </c>
      <c r="G93" s="13" t="b">
        <v>0</v>
      </c>
      <c r="H93" s="13" t="b">
        <v>0</v>
      </c>
      <c r="I93" s="13" t="b">
        <v>0</v>
      </c>
      <c r="J93" s="13" t="b">
        <v>0</v>
      </c>
      <c r="K93" s="76"/>
      <c r="L93" s="105">
        <f t="shared" si="1"/>
        <v>0</v>
      </c>
      <c r="M93" s="76"/>
    </row>
    <row r="94" spans="2:14">
      <c r="B94" s="125">
        <v>46124</v>
      </c>
      <c r="C94" s="16" t="s">
        <v>85</v>
      </c>
      <c r="D94" s="203" t="s">
        <v>176</v>
      </c>
      <c r="E94" s="204" t="s">
        <v>177</v>
      </c>
      <c r="F94" s="39" t="b">
        <v>1</v>
      </c>
      <c r="G94" s="39" t="b">
        <v>0</v>
      </c>
      <c r="H94" s="39" t="b">
        <v>0</v>
      </c>
      <c r="I94" s="39" t="b">
        <v>0</v>
      </c>
      <c r="J94" s="39" t="b">
        <v>0</v>
      </c>
      <c r="K94" s="161">
        <v>14</v>
      </c>
      <c r="L94" s="161">
        <f t="shared" si="1"/>
        <v>14</v>
      </c>
      <c r="M94" s="161"/>
    </row>
    <row r="95" spans="2:14">
      <c r="C95"/>
      <c r="K95" s="12">
        <f>SUM(BOHL00[Column8])</f>
        <v>603</v>
      </c>
      <c r="L95" s="12">
        <f>SUM(BOHL00[Column9])</f>
        <v>224</v>
      </c>
      <c r="M95" s="12">
        <f>SUM(BOHL00[Column10])</f>
        <v>379</v>
      </c>
    </row>
    <row r="96" spans="2:14">
      <c r="C96"/>
    </row>
    <row r="97" spans="3:3">
      <c r="C97"/>
    </row>
  </sheetData>
  <mergeCells count="3">
    <mergeCell ref="B2:C2"/>
    <mergeCell ref="O51:P53"/>
    <mergeCell ref="R51:S53"/>
  </mergeCells>
  <conditionalFormatting sqref="U18:U19 B18:C94">
    <cfRule type="expression" dxfId="173" priority="5">
      <formula>MOD(ROW(),2)=1</formula>
    </cfRule>
  </conditionalFormatting>
  <conditionalFormatting sqref="U20:U52">
    <cfRule type="expression" dxfId="172" priority="1">
      <formula>MOD(ROW(),2)=1</formula>
    </cfRule>
  </conditionalFormatting>
  <dataValidations count="2">
    <dataValidation type="list" allowBlank="1" showInputMessage="1" showErrorMessage="1" sqref="C1 C3:C1048576" xr:uid="{C2CF4863-1558-43A0-A108-BA25D7CC335A}">
      <formula1>$U$18:$U$50</formula1>
    </dataValidation>
    <dataValidation type="list" allowBlank="1" showInputMessage="1" showErrorMessage="1" sqref="U20" xr:uid="{A2CCEFA6-F184-48A7-B2BC-CAE976388313}">
      <formula1>$V$19:$V$51</formula1>
    </dataValidation>
  </dataValidations>
  <hyperlinks>
    <hyperlink ref="B2:C2" location="MENU" display="MENU" xr:uid="{92597B35-2C41-404C-9302-0617BFAC548B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CCF-D1C5-4769-A20B-38D88FD2D413}">
  <dimension ref="B2:U389"/>
  <sheetViews>
    <sheetView topLeftCell="A5" workbookViewId="0">
      <selection activeCell="O16" sqref="O16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12.42578125" customWidth="1"/>
    <col min="15" max="15" width="31.28515625" style="81" customWidth="1"/>
    <col min="16" max="17" width="22" customWidth="1"/>
    <col min="18" max="18" width="29.5703125" customWidth="1"/>
    <col min="19" max="19" width="28.5703125" customWidth="1"/>
    <col min="21" max="21" width="18.42578125" style="81" customWidth="1"/>
  </cols>
  <sheetData>
    <row r="2" spans="2:21" ht="46.5">
      <c r="B2" s="211" t="s">
        <v>30</v>
      </c>
      <c r="C2" s="211"/>
    </row>
    <row r="5" spans="2:21" ht="60.7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U5" s="104" t="s">
        <v>38</v>
      </c>
    </row>
    <row r="6" spans="2:21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U6" s="101"/>
    </row>
    <row r="7" spans="2:21">
      <c r="B7" s="125"/>
      <c r="C7" s="16"/>
      <c r="D7" s="25" t="s">
        <v>178</v>
      </c>
      <c r="E7" s="26" t="s">
        <v>179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76"/>
      <c r="L7" s="105"/>
      <c r="M7" s="76"/>
    </row>
    <row r="8" spans="2:21">
      <c r="B8" s="125"/>
      <c r="C8" s="16"/>
      <c r="D8" s="30" t="s">
        <v>180</v>
      </c>
      <c r="E8" s="29" t="s">
        <v>181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05"/>
      <c r="L8" s="105">
        <f>(BOHL01[[#This Row],[Column8]]-M8)</f>
        <v>0</v>
      </c>
      <c r="M8" s="105"/>
      <c r="U8" s="102" t="s">
        <v>51</v>
      </c>
    </row>
    <row r="9" spans="2:21" ht="24">
      <c r="B9" s="125"/>
      <c r="C9" s="16"/>
      <c r="D9" s="31" t="s">
        <v>182</v>
      </c>
      <c r="E9" s="32" t="s">
        <v>183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76"/>
      <c r="L9" s="105">
        <f>(BOHL01[[#This Row],[Column8]]-M9)</f>
        <v>0</v>
      </c>
      <c r="M9" s="76"/>
      <c r="U9" s="102" t="s">
        <v>53</v>
      </c>
    </row>
    <row r="10" spans="2:21">
      <c r="B10" s="125">
        <v>46042</v>
      </c>
      <c r="C10" s="16" t="s">
        <v>69</v>
      </c>
      <c r="D10" s="33" t="s">
        <v>184</v>
      </c>
      <c r="E10" s="34" t="s">
        <v>185</v>
      </c>
      <c r="F10" s="13" t="b">
        <v>1</v>
      </c>
      <c r="G10" s="13" t="b">
        <v>1</v>
      </c>
      <c r="H10" s="13" t="b">
        <v>0</v>
      </c>
      <c r="I10" s="13" t="b">
        <v>0</v>
      </c>
      <c r="J10" s="13" t="b">
        <v>0</v>
      </c>
      <c r="K10" s="105">
        <v>48</v>
      </c>
      <c r="L10" s="105">
        <f>(BOHL01[[#This Row],[Column8]]-M10)</f>
        <v>29</v>
      </c>
      <c r="M10" s="105">
        <v>19</v>
      </c>
      <c r="U10" s="102" t="s">
        <v>56</v>
      </c>
    </row>
    <row r="11" spans="2:21">
      <c r="B11" s="125">
        <v>46069</v>
      </c>
      <c r="C11" s="16" t="s">
        <v>66</v>
      </c>
      <c r="D11" s="30" t="s">
        <v>186</v>
      </c>
      <c r="E11" s="29" t="s">
        <v>187</v>
      </c>
      <c r="F11" s="13" t="b">
        <v>1</v>
      </c>
      <c r="G11" s="13" t="b">
        <v>1</v>
      </c>
      <c r="H11" s="13" t="b">
        <v>0</v>
      </c>
      <c r="I11" s="13" t="b">
        <v>0</v>
      </c>
      <c r="J11" s="13" t="b">
        <v>0</v>
      </c>
      <c r="K11" s="76">
        <v>11</v>
      </c>
      <c r="L11" s="105">
        <f>(BOHL01[[#This Row],[Column8]]-M11)</f>
        <v>5</v>
      </c>
      <c r="M11" s="76">
        <v>6</v>
      </c>
      <c r="U11" s="102" t="s">
        <v>59</v>
      </c>
    </row>
    <row r="12" spans="2:21">
      <c r="B12" s="125">
        <v>46055</v>
      </c>
      <c r="C12" s="16" t="s">
        <v>81</v>
      </c>
      <c r="D12" s="30" t="s">
        <v>188</v>
      </c>
      <c r="E12" s="29" t="s">
        <v>189</v>
      </c>
      <c r="F12" s="13" t="b">
        <v>1</v>
      </c>
      <c r="G12" s="13" t="b">
        <v>0</v>
      </c>
      <c r="H12" s="13" t="b">
        <v>0</v>
      </c>
      <c r="I12" s="13" t="b">
        <v>0</v>
      </c>
      <c r="J12" s="13" t="b">
        <v>0</v>
      </c>
      <c r="K12" s="105">
        <v>8</v>
      </c>
      <c r="L12" s="105">
        <f>(BOHL01[[#This Row],[Column8]]-M12)</f>
        <v>8</v>
      </c>
      <c r="M12" s="105">
        <v>0</v>
      </c>
      <c r="U12" s="102" t="s">
        <v>62</v>
      </c>
    </row>
    <row r="13" spans="2:21">
      <c r="B13" s="125">
        <v>46069</v>
      </c>
      <c r="C13" s="16" t="s">
        <v>66</v>
      </c>
      <c r="D13" s="30" t="s">
        <v>190</v>
      </c>
      <c r="E13" s="29" t="s">
        <v>191</v>
      </c>
      <c r="F13" s="13" t="b">
        <v>1</v>
      </c>
      <c r="G13" s="13" t="b">
        <v>0</v>
      </c>
      <c r="H13" s="13" t="b">
        <v>0</v>
      </c>
      <c r="I13" s="13" t="b">
        <v>0</v>
      </c>
      <c r="J13" s="13" t="b">
        <v>0</v>
      </c>
      <c r="K13" s="76">
        <v>6</v>
      </c>
      <c r="L13" s="105">
        <f>(BOHL01[[#This Row],[Column8]]-M13)</f>
        <v>6</v>
      </c>
      <c r="M13" s="76">
        <v>0</v>
      </c>
      <c r="U13" s="102" t="s">
        <v>66</v>
      </c>
    </row>
    <row r="14" spans="2:21">
      <c r="B14" s="125">
        <v>46121</v>
      </c>
      <c r="C14" s="16" t="s">
        <v>66</v>
      </c>
      <c r="D14" s="30" t="s">
        <v>192</v>
      </c>
      <c r="E14" s="29" t="s">
        <v>193</v>
      </c>
      <c r="F14" s="13" t="b">
        <v>1</v>
      </c>
      <c r="G14" s="13" t="b">
        <v>0</v>
      </c>
      <c r="H14" s="13" t="b">
        <v>0</v>
      </c>
      <c r="I14" s="13" t="b">
        <v>0</v>
      </c>
      <c r="J14" s="13" t="b">
        <v>0</v>
      </c>
      <c r="K14" s="105">
        <v>28</v>
      </c>
      <c r="L14" s="105">
        <f>(BOHL01[[#This Row],[Column8]]-M14)</f>
        <v>28</v>
      </c>
      <c r="M14" s="105">
        <v>0</v>
      </c>
      <c r="U14" s="102" t="s">
        <v>69</v>
      </c>
    </row>
    <row r="15" spans="2:21" ht="24">
      <c r="B15" s="125"/>
      <c r="C15" s="16"/>
      <c r="D15" s="31" t="s">
        <v>194</v>
      </c>
      <c r="E15" s="32" t="s">
        <v>183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76"/>
      <c r="L15" s="105">
        <f>(BOHL01[[#This Row],[Column8]]-M15)</f>
        <v>0</v>
      </c>
      <c r="M15" s="76"/>
      <c r="U15" s="102" t="s">
        <v>72</v>
      </c>
    </row>
    <row r="16" spans="2:21">
      <c r="D16" s="30" t="s">
        <v>195</v>
      </c>
      <c r="E16" s="29" t="s">
        <v>196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05"/>
      <c r="L16" s="105">
        <f>(BOHL01[[#This Row],[Column8]]-M16)</f>
        <v>0</v>
      </c>
      <c r="M16" s="105"/>
      <c r="U16" s="102" t="s">
        <v>75</v>
      </c>
    </row>
    <row r="17" spans="2:21">
      <c r="B17" s="125">
        <v>46044</v>
      </c>
      <c r="C17" s="16" t="s">
        <v>53</v>
      </c>
      <c r="D17" s="30" t="s">
        <v>197</v>
      </c>
      <c r="E17" s="29" t="s">
        <v>198</v>
      </c>
      <c r="F17" s="13" t="b">
        <v>1</v>
      </c>
      <c r="G17" s="13" t="b">
        <v>1</v>
      </c>
      <c r="H17" s="13" t="b">
        <v>0</v>
      </c>
      <c r="I17" s="13" t="b">
        <v>0</v>
      </c>
      <c r="J17" s="13" t="b">
        <v>0</v>
      </c>
      <c r="K17" s="76">
        <v>10</v>
      </c>
      <c r="L17" s="105">
        <f>(BOHL01[[#This Row],[Column8]]-M17)</f>
        <v>4</v>
      </c>
      <c r="M17" s="76">
        <v>6</v>
      </c>
      <c r="U17" s="102" t="s">
        <v>78</v>
      </c>
    </row>
    <row r="18" spans="2:21">
      <c r="B18" s="125">
        <v>46043</v>
      </c>
      <c r="C18" s="16" t="s">
        <v>69</v>
      </c>
      <c r="D18" s="30" t="s">
        <v>199</v>
      </c>
      <c r="E18" s="29" t="s">
        <v>200</v>
      </c>
      <c r="F18" s="13" t="b">
        <v>1</v>
      </c>
      <c r="G18" s="13" t="b">
        <v>1</v>
      </c>
      <c r="H18" s="13" t="b">
        <v>0</v>
      </c>
      <c r="I18" s="13" t="b">
        <v>0</v>
      </c>
      <c r="J18" s="13" t="b">
        <v>0</v>
      </c>
      <c r="K18" s="105">
        <v>20</v>
      </c>
      <c r="L18" s="105">
        <f>(BOHL01[[#This Row],[Column8]]-M18)</f>
        <v>5</v>
      </c>
      <c r="M18" s="105">
        <v>15</v>
      </c>
      <c r="U18" s="102" t="s">
        <v>81</v>
      </c>
    </row>
    <row r="19" spans="2:21" ht="24">
      <c r="B19" s="125">
        <v>46043</v>
      </c>
      <c r="C19" s="16" t="s">
        <v>85</v>
      </c>
      <c r="D19" s="31" t="s">
        <v>201</v>
      </c>
      <c r="E19" s="32" t="s">
        <v>202</v>
      </c>
      <c r="F19" s="13" t="b">
        <v>1</v>
      </c>
      <c r="G19" s="13" t="b">
        <v>1</v>
      </c>
      <c r="H19" s="13" t="b">
        <v>0</v>
      </c>
      <c r="I19" s="13" t="b">
        <v>0</v>
      </c>
      <c r="J19" s="13" t="b">
        <v>0</v>
      </c>
      <c r="K19" s="76">
        <v>10</v>
      </c>
      <c r="L19" s="105">
        <f>(BOHL01[[#This Row],[Column8]]-M19)</f>
        <v>0</v>
      </c>
      <c r="M19" s="76">
        <v>10</v>
      </c>
      <c r="U19" s="102" t="s">
        <v>63</v>
      </c>
    </row>
    <row r="20" spans="2:21">
      <c r="B20" s="125">
        <v>46043</v>
      </c>
      <c r="C20" s="16" t="s">
        <v>85</v>
      </c>
      <c r="D20" s="31" t="s">
        <v>203</v>
      </c>
      <c r="E20" s="32" t="s">
        <v>204</v>
      </c>
      <c r="F20" s="13" t="b">
        <v>1</v>
      </c>
      <c r="G20" s="13" t="b">
        <v>1</v>
      </c>
      <c r="H20" s="13" t="b">
        <v>0</v>
      </c>
      <c r="I20" s="13" t="b">
        <v>0</v>
      </c>
      <c r="J20" s="13" t="b">
        <v>0</v>
      </c>
      <c r="K20" s="105">
        <v>3</v>
      </c>
      <c r="L20" s="105">
        <f>(BOHL01[[#This Row],[Column8]]-M20)</f>
        <v>0</v>
      </c>
      <c r="M20" s="105">
        <v>3</v>
      </c>
      <c r="U20" s="102" t="s">
        <v>85</v>
      </c>
    </row>
    <row r="21" spans="2:21" ht="24">
      <c r="B21" s="125">
        <v>46043</v>
      </c>
      <c r="C21" s="16" t="s">
        <v>85</v>
      </c>
      <c r="D21" s="31" t="s">
        <v>205</v>
      </c>
      <c r="E21" s="32" t="s">
        <v>206</v>
      </c>
      <c r="F21" s="13" t="b">
        <v>1</v>
      </c>
      <c r="G21" s="13" t="b">
        <v>1</v>
      </c>
      <c r="H21" s="13" t="b">
        <v>0</v>
      </c>
      <c r="I21" s="13" t="b">
        <v>0</v>
      </c>
      <c r="J21" s="13" t="b">
        <v>0</v>
      </c>
      <c r="K21" s="76">
        <v>3</v>
      </c>
      <c r="L21" s="105">
        <f>(BOHL01[[#This Row],[Column8]]-M21)</f>
        <v>0</v>
      </c>
      <c r="M21" s="76">
        <v>3</v>
      </c>
      <c r="U21" s="102" t="s">
        <v>88</v>
      </c>
    </row>
    <row r="22" spans="2:21">
      <c r="B22" s="125">
        <v>46043</v>
      </c>
      <c r="C22" s="16" t="s">
        <v>85</v>
      </c>
      <c r="D22" s="206" t="s">
        <v>207</v>
      </c>
      <c r="E22" s="202" t="s">
        <v>208</v>
      </c>
      <c r="F22" s="13" t="b">
        <v>1</v>
      </c>
      <c r="G22" s="13" t="b">
        <v>1</v>
      </c>
      <c r="H22" s="13" t="b">
        <v>0</v>
      </c>
      <c r="I22" s="13" t="b">
        <v>0</v>
      </c>
      <c r="J22" s="13" t="b">
        <v>0</v>
      </c>
      <c r="K22" s="105">
        <v>1</v>
      </c>
      <c r="L22" s="105">
        <f>(BOHL01[[#This Row],[Column8]]-M22)</f>
        <v>0</v>
      </c>
      <c r="M22" s="105">
        <v>1</v>
      </c>
      <c r="U22" s="102" t="s">
        <v>91</v>
      </c>
    </row>
    <row r="23" spans="2:21">
      <c r="B23" s="125">
        <v>46043</v>
      </c>
      <c r="C23" s="16" t="s">
        <v>85</v>
      </c>
      <c r="D23" s="30" t="s">
        <v>209</v>
      </c>
      <c r="E23" s="34" t="s">
        <v>210</v>
      </c>
      <c r="F23" s="13" t="b">
        <v>1</v>
      </c>
      <c r="G23" s="13" t="b">
        <v>1</v>
      </c>
      <c r="H23" s="13" t="b">
        <v>0</v>
      </c>
      <c r="I23" s="13" t="b">
        <v>0</v>
      </c>
      <c r="J23" s="13" t="b">
        <v>0</v>
      </c>
      <c r="K23" s="76">
        <v>11</v>
      </c>
      <c r="L23" s="105">
        <f>(BOHL01[[#This Row],[Column8]]-M23)</f>
        <v>3</v>
      </c>
      <c r="M23" s="76">
        <v>8</v>
      </c>
      <c r="U23" s="102" t="s">
        <v>94</v>
      </c>
    </row>
    <row r="24" spans="2:21">
      <c r="B24" s="125">
        <v>46065</v>
      </c>
      <c r="C24" s="16" t="s">
        <v>69</v>
      </c>
      <c r="D24" s="30" t="s">
        <v>211</v>
      </c>
      <c r="E24" s="29" t="s">
        <v>212</v>
      </c>
      <c r="F24" s="13" t="b">
        <v>1</v>
      </c>
      <c r="G24" s="13" t="b">
        <v>1</v>
      </c>
      <c r="H24" s="13" t="b">
        <v>0</v>
      </c>
      <c r="I24" s="13" t="b">
        <v>0</v>
      </c>
      <c r="J24" s="13" t="b">
        <v>0</v>
      </c>
      <c r="K24" s="105">
        <v>18</v>
      </c>
      <c r="L24" s="105">
        <f>(BOHL01[[#This Row],[Column8]]-M24)</f>
        <v>8</v>
      </c>
      <c r="M24" s="105">
        <v>10</v>
      </c>
      <c r="U24" s="102" t="s">
        <v>966</v>
      </c>
    </row>
    <row r="25" spans="2:21" ht="32.25" customHeight="1">
      <c r="B25" s="125">
        <v>46043</v>
      </c>
      <c r="C25" s="16" t="s">
        <v>66</v>
      </c>
      <c r="D25" s="30" t="s">
        <v>97</v>
      </c>
      <c r="E25" s="29" t="s">
        <v>213</v>
      </c>
      <c r="F25" s="13" t="b">
        <v>1</v>
      </c>
      <c r="G25" s="13" t="b">
        <v>1</v>
      </c>
      <c r="H25" s="13" t="b">
        <v>0</v>
      </c>
      <c r="I25" s="13" t="b">
        <v>0</v>
      </c>
      <c r="J25" s="13" t="b">
        <v>0</v>
      </c>
      <c r="K25" s="76">
        <v>13</v>
      </c>
      <c r="L25" s="105">
        <f>(BOHL01[[#This Row],[Column8]]-M25)</f>
        <v>4</v>
      </c>
      <c r="M25" s="76">
        <v>9</v>
      </c>
      <c r="U25" s="102"/>
    </row>
    <row r="26" spans="2:21">
      <c r="B26" s="125">
        <v>46043</v>
      </c>
      <c r="C26" s="16" t="s">
        <v>85</v>
      </c>
      <c r="D26" s="30" t="s">
        <v>214</v>
      </c>
      <c r="E26" s="29" t="s">
        <v>215</v>
      </c>
      <c r="F26" s="13" t="b">
        <v>1</v>
      </c>
      <c r="G26" s="13" t="b">
        <v>1</v>
      </c>
      <c r="H26" s="13" t="b">
        <v>0</v>
      </c>
      <c r="I26" s="13" t="b">
        <v>0</v>
      </c>
      <c r="J26" s="13" t="b">
        <v>0</v>
      </c>
      <c r="K26" s="105">
        <v>7</v>
      </c>
      <c r="L26" s="105">
        <f>(BOHL01[[#This Row],[Column8]]-M26)</f>
        <v>1</v>
      </c>
      <c r="M26" s="105">
        <v>6</v>
      </c>
      <c r="U26" s="102"/>
    </row>
    <row r="27" spans="2:21">
      <c r="B27" s="125">
        <v>46043</v>
      </c>
      <c r="C27" s="16" t="s">
        <v>85</v>
      </c>
      <c r="D27" s="30" t="s">
        <v>216</v>
      </c>
      <c r="E27" s="29" t="s">
        <v>217</v>
      </c>
      <c r="F27" s="13" t="b">
        <v>1</v>
      </c>
      <c r="G27" s="13" t="b">
        <v>1</v>
      </c>
      <c r="H27" s="13" t="b">
        <v>0</v>
      </c>
      <c r="I27" s="13" t="b">
        <v>0</v>
      </c>
      <c r="J27" s="13" t="b">
        <v>0</v>
      </c>
      <c r="K27" s="76">
        <v>14</v>
      </c>
      <c r="L27" s="105">
        <f>(BOHL01[[#This Row],[Column8]]-M27)</f>
        <v>7</v>
      </c>
      <c r="M27" s="76">
        <v>7</v>
      </c>
      <c r="U27" s="102"/>
    </row>
    <row r="28" spans="2:21">
      <c r="B28" s="125">
        <v>46043</v>
      </c>
      <c r="C28" s="16" t="s">
        <v>63</v>
      </c>
      <c r="D28" s="30" t="s">
        <v>218</v>
      </c>
      <c r="E28" s="29" t="s">
        <v>219</v>
      </c>
      <c r="F28" s="13" t="b">
        <v>1</v>
      </c>
      <c r="G28" s="13" t="b">
        <v>1</v>
      </c>
      <c r="H28" s="13" t="b">
        <v>0</v>
      </c>
      <c r="I28" s="13" t="b">
        <v>0</v>
      </c>
      <c r="J28" s="13" t="b">
        <v>0</v>
      </c>
      <c r="K28" s="105">
        <v>14</v>
      </c>
      <c r="L28" s="105">
        <f>(BOHL01[[#This Row],[Column8]]-M28)</f>
        <v>4</v>
      </c>
      <c r="M28" s="105">
        <v>10</v>
      </c>
      <c r="U28" s="102"/>
    </row>
    <row r="29" spans="2:21">
      <c r="B29" s="125">
        <v>46043</v>
      </c>
      <c r="C29" s="16" t="s">
        <v>53</v>
      </c>
      <c r="D29" s="30" t="s">
        <v>220</v>
      </c>
      <c r="E29" s="29" t="s">
        <v>221</v>
      </c>
      <c r="F29" s="13" t="b">
        <v>1</v>
      </c>
      <c r="G29" s="13" t="b">
        <v>1</v>
      </c>
      <c r="H29" s="13" t="b">
        <v>0</v>
      </c>
      <c r="I29" s="13" t="b">
        <v>0</v>
      </c>
      <c r="J29" s="13" t="b">
        <v>0</v>
      </c>
      <c r="K29" s="76">
        <v>12</v>
      </c>
      <c r="L29" s="105">
        <f>(BOHL01[[#This Row],[Column8]]-M29)</f>
        <v>2</v>
      </c>
      <c r="M29" s="76">
        <v>10</v>
      </c>
      <c r="U29" s="102"/>
    </row>
    <row r="30" spans="2:21">
      <c r="B30" s="125"/>
      <c r="C30" s="16"/>
      <c r="D30" s="30" t="s">
        <v>222</v>
      </c>
      <c r="E30" s="29" t="s">
        <v>223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>
        <f>(BOHL01[[#This Row],[Column8]]-M30)</f>
        <v>0</v>
      </c>
      <c r="M30" s="105"/>
      <c r="U30" s="102"/>
    </row>
    <row r="31" spans="2:21">
      <c r="B31" s="125">
        <v>46043</v>
      </c>
      <c r="C31" s="16" t="s">
        <v>66</v>
      </c>
      <c r="D31" s="30" t="s">
        <v>224</v>
      </c>
      <c r="E31" s="29" t="s">
        <v>225</v>
      </c>
      <c r="F31" s="13" t="b">
        <v>1</v>
      </c>
      <c r="G31" s="13" t="b">
        <v>1</v>
      </c>
      <c r="H31" s="13" t="b">
        <v>0</v>
      </c>
      <c r="I31" s="13" t="b">
        <v>0</v>
      </c>
      <c r="J31" s="13" t="b">
        <v>0</v>
      </c>
      <c r="K31" s="76">
        <v>22</v>
      </c>
      <c r="L31" s="105">
        <f>(BOHL01[[#This Row],[Column8]]-M31)</f>
        <v>20</v>
      </c>
      <c r="M31" s="76">
        <v>2</v>
      </c>
      <c r="U31" s="102"/>
    </row>
    <row r="32" spans="2:21">
      <c r="B32" s="125">
        <v>46124</v>
      </c>
      <c r="C32" s="16" t="s">
        <v>226</v>
      </c>
      <c r="D32" s="30" t="s">
        <v>227</v>
      </c>
      <c r="E32" s="29" t="s">
        <v>65</v>
      </c>
      <c r="F32" s="13" t="b">
        <v>1</v>
      </c>
      <c r="G32" s="13" t="b">
        <v>0</v>
      </c>
      <c r="H32" s="13" t="b">
        <v>0</v>
      </c>
      <c r="I32" s="13" t="b">
        <v>0</v>
      </c>
      <c r="J32" s="13" t="b">
        <v>0</v>
      </c>
      <c r="K32" s="105">
        <v>41</v>
      </c>
      <c r="L32" s="105">
        <f>(BOHL01[[#This Row],[Column8]]-M32)</f>
        <v>40</v>
      </c>
      <c r="M32" s="105">
        <v>1</v>
      </c>
      <c r="U32" s="102"/>
    </row>
    <row r="33" spans="2:21">
      <c r="B33" s="125">
        <v>46043</v>
      </c>
      <c r="C33" s="16" t="s">
        <v>66</v>
      </c>
      <c r="D33" s="30" t="s">
        <v>228</v>
      </c>
      <c r="E33" s="29" t="s">
        <v>229</v>
      </c>
      <c r="F33" s="13" t="b">
        <v>1</v>
      </c>
      <c r="G33" s="13" t="b">
        <v>0</v>
      </c>
      <c r="H33" s="13" t="b">
        <v>0</v>
      </c>
      <c r="I33" s="13" t="b">
        <v>0</v>
      </c>
      <c r="J33" s="13" t="b">
        <v>0</v>
      </c>
      <c r="K33" s="76">
        <v>13</v>
      </c>
      <c r="L33" s="105">
        <f>(BOHL01[[#This Row],[Column8]]-M33)</f>
        <v>12</v>
      </c>
      <c r="M33" s="76">
        <v>1</v>
      </c>
      <c r="U33" s="102"/>
    </row>
    <row r="34" spans="2:21">
      <c r="B34" s="125">
        <v>46121</v>
      </c>
      <c r="C34" s="16" t="s">
        <v>226</v>
      </c>
      <c r="D34" s="31" t="s">
        <v>230</v>
      </c>
      <c r="E34" s="32" t="s">
        <v>231</v>
      </c>
      <c r="F34" s="13" t="b">
        <v>1</v>
      </c>
      <c r="G34" s="13" t="b">
        <v>0</v>
      </c>
      <c r="H34" s="13" t="b">
        <v>0</v>
      </c>
      <c r="I34" s="13" t="b">
        <v>0</v>
      </c>
      <c r="J34" s="13" t="b">
        <v>0</v>
      </c>
      <c r="K34" s="105">
        <v>55</v>
      </c>
      <c r="L34" s="105">
        <f>(BOHL01[[#This Row],[Column8]]-M34)</f>
        <v>55</v>
      </c>
      <c r="M34" s="105"/>
      <c r="U34" s="102"/>
    </row>
    <row r="35" spans="2:21">
      <c r="B35" s="125">
        <v>46043</v>
      </c>
      <c r="C35" s="16" t="s">
        <v>69</v>
      </c>
      <c r="D35" s="31" t="s">
        <v>232</v>
      </c>
      <c r="E35" s="32" t="s">
        <v>233</v>
      </c>
      <c r="F35" s="13" t="b">
        <v>1</v>
      </c>
      <c r="G35" s="13" t="b">
        <v>1</v>
      </c>
      <c r="H35" s="13" t="b">
        <v>0</v>
      </c>
      <c r="I35" s="13" t="b">
        <v>0</v>
      </c>
      <c r="J35" s="13" t="b">
        <v>0</v>
      </c>
      <c r="K35" s="76">
        <v>34</v>
      </c>
      <c r="L35" s="105">
        <f>(BOHL01[[#This Row],[Column8]]-M35)</f>
        <v>26</v>
      </c>
      <c r="M35" s="76">
        <v>8</v>
      </c>
      <c r="U35" s="102"/>
    </row>
    <row r="36" spans="2:21" ht="16.5">
      <c r="B36" s="125"/>
      <c r="C36" s="191"/>
      <c r="D36" s="30" t="s">
        <v>232</v>
      </c>
      <c r="E36" s="82" t="s">
        <v>234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>
        <f>(BOHL01[[#This Row],[Column8]]-M36)</f>
        <v>0</v>
      </c>
      <c r="M36" s="105"/>
      <c r="U36" s="102"/>
    </row>
    <row r="37" spans="2:21">
      <c r="B37" s="125"/>
      <c r="C37" s="16"/>
      <c r="D37" s="31" t="s">
        <v>235</v>
      </c>
      <c r="E37" s="32" t="s">
        <v>236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76"/>
      <c r="L37" s="105">
        <f>(BOHL01[[#This Row],[Column8]]-M37)</f>
        <v>0</v>
      </c>
      <c r="M37" s="76"/>
      <c r="U37" s="102"/>
    </row>
    <row r="38" spans="2:21">
      <c r="B38" s="125"/>
      <c r="C38" s="16"/>
      <c r="D38" s="31" t="s">
        <v>235</v>
      </c>
      <c r="E38" s="32" t="s">
        <v>236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05"/>
      <c r="L38" s="105">
        <f>(BOHL01[[#This Row],[Column8]]-M38)</f>
        <v>0</v>
      </c>
      <c r="M38" s="105"/>
      <c r="U38" s="102"/>
    </row>
    <row r="39" spans="2:21">
      <c r="B39" s="125"/>
      <c r="C39" s="16"/>
      <c r="D39" s="31" t="s">
        <v>237</v>
      </c>
      <c r="E39" s="32" t="s">
        <v>238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105">
        <f>(BOHL01[[#This Row],[Column8]]-M39)</f>
        <v>0</v>
      </c>
      <c r="M39" s="76"/>
      <c r="U39" s="102"/>
    </row>
    <row r="40" spans="2:21">
      <c r="B40" s="125"/>
      <c r="C40" s="16"/>
      <c r="D40" s="31" t="s">
        <v>239</v>
      </c>
      <c r="E40" s="32" t="s">
        <v>240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05"/>
      <c r="L40" s="105">
        <f>(BOHL01[[#This Row],[Column8]]-M40)</f>
        <v>0</v>
      </c>
      <c r="M40" s="105"/>
      <c r="U40" s="103"/>
    </row>
    <row r="41" spans="2:21">
      <c r="B41" s="125"/>
      <c r="C41" s="16"/>
      <c r="D41" s="31" t="s">
        <v>241</v>
      </c>
      <c r="E41" s="32" t="s">
        <v>242</v>
      </c>
      <c r="F41" s="13" t="b">
        <v>1</v>
      </c>
      <c r="G41" s="13" t="b">
        <v>1</v>
      </c>
      <c r="H41" s="13" t="b">
        <v>0</v>
      </c>
      <c r="I41" s="13" t="b">
        <v>0</v>
      </c>
      <c r="J41" s="13" t="b">
        <v>0</v>
      </c>
      <c r="K41" s="76">
        <v>66</v>
      </c>
      <c r="L41" s="105">
        <f>(BOHL01[[#This Row],[Column8]]-M41)</f>
        <v>25</v>
      </c>
      <c r="M41" s="76">
        <v>41</v>
      </c>
    </row>
    <row r="42" spans="2:21" ht="24">
      <c r="B42" s="125">
        <v>46051</v>
      </c>
      <c r="C42" s="16" t="s">
        <v>226</v>
      </c>
      <c r="D42" s="31" t="s">
        <v>243</v>
      </c>
      <c r="E42" s="32" t="s">
        <v>244</v>
      </c>
      <c r="F42" s="13" t="b">
        <v>1</v>
      </c>
      <c r="G42" s="13" t="b">
        <v>0</v>
      </c>
      <c r="H42" s="13" t="b">
        <v>0</v>
      </c>
      <c r="I42" s="13" t="b">
        <v>0</v>
      </c>
      <c r="J42" s="13" t="b">
        <v>0</v>
      </c>
      <c r="K42" s="105">
        <v>10</v>
      </c>
      <c r="L42" s="105">
        <f>(BOHL01[[#This Row],[Column8]]-M42)</f>
        <v>6</v>
      </c>
      <c r="M42" s="105">
        <v>4</v>
      </c>
    </row>
    <row r="43" spans="2:21">
      <c r="B43" s="125">
        <v>46049</v>
      </c>
      <c r="C43" s="16" t="s">
        <v>226</v>
      </c>
      <c r="D43" s="31" t="s">
        <v>245</v>
      </c>
      <c r="E43" s="32" t="s">
        <v>246</v>
      </c>
      <c r="F43" s="13" t="b">
        <v>1</v>
      </c>
      <c r="G43" s="13" t="b">
        <v>0</v>
      </c>
      <c r="H43" s="13" t="b">
        <v>0</v>
      </c>
      <c r="I43" s="13" t="b">
        <v>0</v>
      </c>
      <c r="J43" s="13" t="b">
        <v>0</v>
      </c>
      <c r="K43" s="76">
        <v>10</v>
      </c>
      <c r="L43" s="105">
        <f>(BOHL01[[#This Row],[Column8]]-M43)</f>
        <v>10</v>
      </c>
      <c r="M43" s="76"/>
    </row>
    <row r="44" spans="2:21">
      <c r="B44" s="125">
        <v>46049</v>
      </c>
      <c r="C44" s="16" t="s">
        <v>66</v>
      </c>
      <c r="D44" s="31" t="s">
        <v>247</v>
      </c>
      <c r="E44" s="32" t="s">
        <v>248</v>
      </c>
      <c r="F44" s="13" t="b">
        <v>1</v>
      </c>
      <c r="G44" s="13" t="b">
        <v>0</v>
      </c>
      <c r="H44" s="13" t="b">
        <v>0</v>
      </c>
      <c r="I44" s="13" t="b">
        <v>0</v>
      </c>
      <c r="J44" s="13" t="b">
        <v>0</v>
      </c>
      <c r="K44" s="105">
        <v>12</v>
      </c>
      <c r="L44" s="105">
        <f>(BOHL01[[#This Row],[Column8]]-M44)</f>
        <v>12</v>
      </c>
      <c r="M44" s="105">
        <v>0</v>
      </c>
    </row>
    <row r="45" spans="2:21">
      <c r="B45" s="125">
        <v>46049</v>
      </c>
      <c r="C45" s="16" t="s">
        <v>226</v>
      </c>
      <c r="D45" s="31" t="s">
        <v>249</v>
      </c>
      <c r="E45" s="32" t="s">
        <v>248</v>
      </c>
      <c r="F45" s="13" t="b">
        <v>1</v>
      </c>
      <c r="G45" s="13" t="b">
        <v>0</v>
      </c>
      <c r="H45" s="13" t="b">
        <v>0</v>
      </c>
      <c r="I45" s="13" t="b">
        <v>0</v>
      </c>
      <c r="J45" s="13" t="b">
        <v>0</v>
      </c>
      <c r="K45" s="76">
        <v>8</v>
      </c>
      <c r="L45" s="105">
        <f>(BOHL01[[#This Row],[Column8]]-M45)</f>
        <v>8</v>
      </c>
      <c r="M45" s="76">
        <v>0</v>
      </c>
    </row>
    <row r="46" spans="2:21">
      <c r="B46" s="125"/>
      <c r="C46" s="16"/>
      <c r="D46" s="31" t="s">
        <v>250</v>
      </c>
      <c r="E46" s="32" t="s">
        <v>251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05"/>
      <c r="L46" s="105">
        <f>(BOHL01[[#This Row],[Column8]]-M46)</f>
        <v>0</v>
      </c>
      <c r="M46" s="105"/>
    </row>
    <row r="47" spans="2:21">
      <c r="B47" s="125"/>
      <c r="C47" s="16"/>
      <c r="D47" s="31" t="s">
        <v>252</v>
      </c>
      <c r="E47" s="32" t="s">
        <v>253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76"/>
      <c r="L47" s="105">
        <f>(BOHL01[[#This Row],[Column8]]-M47)</f>
        <v>0</v>
      </c>
      <c r="M47" s="76"/>
    </row>
    <row r="48" spans="2:21">
      <c r="B48" s="125"/>
      <c r="C48" s="16"/>
      <c r="D48" s="31" t="s">
        <v>254</v>
      </c>
      <c r="E48" s="32" t="s">
        <v>255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05"/>
      <c r="L48" s="105">
        <f>(BOHL01[[#This Row],[Column8]]-M48)</f>
        <v>0</v>
      </c>
      <c r="M48" s="105"/>
    </row>
    <row r="49" spans="2:13" ht="24">
      <c r="B49" s="125"/>
      <c r="C49" s="16"/>
      <c r="D49" s="31" t="s">
        <v>256</v>
      </c>
      <c r="E49" s="32" t="s">
        <v>257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76"/>
      <c r="L49" s="105">
        <f>(BOHL01[[#This Row],[Column8]]-M49)</f>
        <v>0</v>
      </c>
      <c r="M49" s="76"/>
    </row>
    <row r="50" spans="2:13">
      <c r="B50" s="125"/>
      <c r="C50" s="16"/>
      <c r="D50" s="31" t="s">
        <v>258</v>
      </c>
      <c r="E50" s="32" t="s">
        <v>259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05"/>
      <c r="L50" s="105">
        <f>(BOHL01[[#This Row],[Column8]]-M50)</f>
        <v>0</v>
      </c>
      <c r="M50" s="105"/>
    </row>
    <row r="51" spans="2:13">
      <c r="B51" s="125"/>
      <c r="C51" s="16"/>
      <c r="D51" s="31" t="s">
        <v>260</v>
      </c>
      <c r="E51" s="32" t="s">
        <v>261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76"/>
      <c r="L51" s="105">
        <f>(BOHL01[[#This Row],[Column8]]-M51)</f>
        <v>0</v>
      </c>
      <c r="M51" s="76"/>
    </row>
    <row r="52" spans="2:13">
      <c r="B52" s="125">
        <v>46042</v>
      </c>
      <c r="C52" s="16" t="s">
        <v>56</v>
      </c>
      <c r="D52" s="31" t="s">
        <v>262</v>
      </c>
      <c r="E52" s="32" t="s">
        <v>263</v>
      </c>
      <c r="F52" s="13" t="b">
        <v>1</v>
      </c>
      <c r="G52" s="13" t="b">
        <v>1</v>
      </c>
      <c r="H52" s="13" t="b">
        <v>0</v>
      </c>
      <c r="I52" s="13" t="b">
        <v>0</v>
      </c>
      <c r="J52" s="13" t="b">
        <v>0</v>
      </c>
      <c r="K52" s="105">
        <v>20</v>
      </c>
      <c r="L52" s="105">
        <f>(BOHL01[[#This Row],[Column8]]-M52)</f>
        <v>5</v>
      </c>
      <c r="M52" s="105">
        <v>15</v>
      </c>
    </row>
    <row r="53" spans="2:13">
      <c r="B53" s="125">
        <v>46125</v>
      </c>
      <c r="C53" s="16" t="s">
        <v>69</v>
      </c>
      <c r="D53" s="31" t="s">
        <v>264</v>
      </c>
      <c r="E53" s="32" t="s">
        <v>265</v>
      </c>
      <c r="F53" s="13" t="b">
        <v>1</v>
      </c>
      <c r="G53" s="13" t="b">
        <v>1</v>
      </c>
      <c r="H53" s="13" t="b">
        <v>0</v>
      </c>
      <c r="I53" s="13" t="b">
        <v>0</v>
      </c>
      <c r="J53" s="13" t="b">
        <v>0</v>
      </c>
      <c r="K53" s="76">
        <v>21</v>
      </c>
      <c r="L53" s="105">
        <f>(BOHL01[[#This Row],[Column8]]-M53)</f>
        <v>17</v>
      </c>
      <c r="M53" s="76">
        <v>4</v>
      </c>
    </row>
    <row r="54" spans="2:13">
      <c r="B54" s="125">
        <v>46035</v>
      </c>
      <c r="C54" s="16" t="s">
        <v>72</v>
      </c>
      <c r="D54" s="31" t="s">
        <v>266</v>
      </c>
      <c r="E54" s="32" t="s">
        <v>248</v>
      </c>
      <c r="F54" s="13" t="b">
        <v>1</v>
      </c>
      <c r="G54" s="13" t="b">
        <v>1</v>
      </c>
      <c r="H54" s="13" t="b">
        <v>0</v>
      </c>
      <c r="I54" s="13" t="b">
        <v>0</v>
      </c>
      <c r="J54" s="13" t="b">
        <v>0</v>
      </c>
      <c r="K54" s="105">
        <v>10</v>
      </c>
      <c r="L54" s="105">
        <f>(BOHL01[[#This Row],[Column8]]-M54)</f>
        <v>2</v>
      </c>
      <c r="M54" s="105">
        <v>8</v>
      </c>
    </row>
    <row r="55" spans="2:13">
      <c r="B55" s="125">
        <v>46036</v>
      </c>
      <c r="C55" s="16" t="s">
        <v>267</v>
      </c>
      <c r="D55" s="31" t="s">
        <v>268</v>
      </c>
      <c r="E55" s="32" t="s">
        <v>231</v>
      </c>
      <c r="F55" s="13" t="b">
        <v>1</v>
      </c>
      <c r="G55" s="13" t="b">
        <v>1</v>
      </c>
      <c r="H55" s="13" t="b">
        <v>0</v>
      </c>
      <c r="I55" s="13" t="b">
        <v>0</v>
      </c>
      <c r="J55" s="13" t="b">
        <v>0</v>
      </c>
      <c r="K55" s="76">
        <v>14</v>
      </c>
      <c r="L55" s="105">
        <f>(BOHL01[[#This Row],[Column8]]-M55)</f>
        <v>7</v>
      </c>
      <c r="M55" s="76">
        <v>7</v>
      </c>
    </row>
    <row r="56" spans="2:13">
      <c r="B56" s="125">
        <v>46048</v>
      </c>
      <c r="C56" s="16" t="s">
        <v>63</v>
      </c>
      <c r="D56" s="31" t="s">
        <v>269</v>
      </c>
      <c r="E56" s="32" t="s">
        <v>270</v>
      </c>
      <c r="F56" s="13" t="b">
        <v>1</v>
      </c>
      <c r="G56" s="13" t="b">
        <v>1</v>
      </c>
      <c r="H56" s="13" t="b">
        <v>0</v>
      </c>
      <c r="I56" s="13" t="b">
        <v>0</v>
      </c>
      <c r="J56" s="13" t="b">
        <v>0</v>
      </c>
      <c r="K56" s="105">
        <v>14</v>
      </c>
      <c r="L56" s="105">
        <f>(BOHL01[[#This Row],[Column8]]-M56)</f>
        <v>0</v>
      </c>
      <c r="M56" s="105">
        <v>14</v>
      </c>
    </row>
    <row r="57" spans="2:13">
      <c r="B57" s="125"/>
      <c r="C57" s="16"/>
      <c r="D57" s="31" t="s">
        <v>271</v>
      </c>
      <c r="E57" s="32" t="s">
        <v>272</v>
      </c>
      <c r="F57" s="13" t="b">
        <v>0</v>
      </c>
      <c r="G57" s="13" t="b">
        <v>0</v>
      </c>
      <c r="H57" s="13" t="b">
        <v>0</v>
      </c>
      <c r="I57" s="13" t="b">
        <v>0</v>
      </c>
      <c r="J57" s="13" t="b">
        <v>0</v>
      </c>
      <c r="K57" s="76"/>
      <c r="L57" s="105">
        <f>(BOHL01[[#This Row],[Column8]]-M57)</f>
        <v>0</v>
      </c>
      <c r="M57" s="76"/>
    </row>
    <row r="58" spans="2:13" ht="24">
      <c r="B58" s="125">
        <v>46037</v>
      </c>
      <c r="C58" s="16" t="s">
        <v>85</v>
      </c>
      <c r="D58" s="206" t="s">
        <v>273</v>
      </c>
      <c r="E58" s="202" t="s">
        <v>274</v>
      </c>
      <c r="F58" s="13" t="b">
        <v>1</v>
      </c>
      <c r="G58" s="13" t="b">
        <v>0</v>
      </c>
      <c r="H58" s="13" t="b">
        <v>0</v>
      </c>
      <c r="I58" s="13" t="b">
        <v>0</v>
      </c>
      <c r="J58" s="13" t="b">
        <v>0</v>
      </c>
      <c r="K58" s="105">
        <v>1</v>
      </c>
      <c r="L58" s="105">
        <f>(BOHL01[[#This Row],[Column8]]-M58)</f>
        <v>1</v>
      </c>
      <c r="M58" s="105">
        <v>0</v>
      </c>
    </row>
    <row r="59" spans="2:13" ht="24">
      <c r="B59" s="125">
        <v>46035</v>
      </c>
      <c r="C59" s="16" t="s">
        <v>275</v>
      </c>
      <c r="D59" s="31" t="s">
        <v>276</v>
      </c>
      <c r="E59" s="32" t="s">
        <v>277</v>
      </c>
      <c r="F59" s="13" t="b">
        <v>1</v>
      </c>
      <c r="G59" s="13" t="b">
        <v>1</v>
      </c>
      <c r="H59" s="13" t="b">
        <v>0</v>
      </c>
      <c r="I59" s="13" t="b">
        <v>0</v>
      </c>
      <c r="J59" s="13" t="b">
        <v>0</v>
      </c>
      <c r="K59" s="76">
        <v>25</v>
      </c>
      <c r="L59" s="105">
        <f>(BOHL01[[#This Row],[Column8]]-M59)</f>
        <v>6</v>
      </c>
      <c r="M59" s="76">
        <v>19</v>
      </c>
    </row>
    <row r="60" spans="2:13">
      <c r="B60" s="125">
        <v>46035</v>
      </c>
      <c r="C60" s="16" t="s">
        <v>85</v>
      </c>
      <c r="D60" s="31" t="s">
        <v>278</v>
      </c>
      <c r="E60" s="32" t="s">
        <v>279</v>
      </c>
      <c r="F60" s="13" t="b">
        <v>1</v>
      </c>
      <c r="G60" s="13" t="b">
        <v>1</v>
      </c>
      <c r="H60" s="13" t="b">
        <v>0</v>
      </c>
      <c r="I60" s="13" t="b">
        <v>0</v>
      </c>
      <c r="J60" s="13" t="b">
        <v>0</v>
      </c>
      <c r="K60" s="105">
        <v>13</v>
      </c>
      <c r="L60" s="105">
        <f>(BOHL01[[#This Row],[Column8]]-M60)</f>
        <v>6</v>
      </c>
      <c r="M60" s="105">
        <v>7</v>
      </c>
    </row>
    <row r="61" spans="2:13">
      <c r="B61" s="125">
        <v>46035</v>
      </c>
      <c r="C61" s="16" t="s">
        <v>85</v>
      </c>
      <c r="D61" s="31" t="s">
        <v>280</v>
      </c>
      <c r="E61" s="32" t="s">
        <v>281</v>
      </c>
      <c r="F61" s="13" t="b">
        <v>1</v>
      </c>
      <c r="G61" s="13" t="b">
        <v>1</v>
      </c>
      <c r="H61" s="13" t="b">
        <v>0</v>
      </c>
      <c r="I61" s="13" t="b">
        <v>0</v>
      </c>
      <c r="J61" s="13" t="b">
        <v>0</v>
      </c>
      <c r="K61" s="76">
        <v>20</v>
      </c>
      <c r="L61" s="105">
        <f>(BOHL01[[#This Row],[Column8]]-M61)</f>
        <v>11</v>
      </c>
      <c r="M61" s="76">
        <v>9</v>
      </c>
    </row>
    <row r="62" spans="2:13">
      <c r="B62" s="125">
        <v>46035</v>
      </c>
      <c r="C62" s="16" t="s">
        <v>85</v>
      </c>
      <c r="D62" s="31" t="s">
        <v>282</v>
      </c>
      <c r="E62" s="32" t="s">
        <v>283</v>
      </c>
      <c r="F62" s="13" t="b">
        <v>1</v>
      </c>
      <c r="G62" s="13" t="b">
        <v>1</v>
      </c>
      <c r="H62" s="13" t="b">
        <v>0</v>
      </c>
      <c r="I62" s="13" t="b">
        <v>0</v>
      </c>
      <c r="J62" s="13" t="b">
        <v>0</v>
      </c>
      <c r="K62" s="105">
        <v>11</v>
      </c>
      <c r="L62" s="105">
        <f>(BOHL01[[#This Row],[Column8]]-M62)</f>
        <v>0</v>
      </c>
      <c r="M62" s="105">
        <v>11</v>
      </c>
    </row>
    <row r="63" spans="2:13">
      <c r="B63" s="125">
        <v>46035</v>
      </c>
      <c r="C63" s="16" t="s">
        <v>85</v>
      </c>
      <c r="D63" s="31" t="s">
        <v>284</v>
      </c>
      <c r="E63" s="32" t="s">
        <v>285</v>
      </c>
      <c r="F63" s="13" t="b">
        <v>1</v>
      </c>
      <c r="G63" s="13" t="b">
        <v>1</v>
      </c>
      <c r="H63" s="13" t="b">
        <v>0</v>
      </c>
      <c r="I63" s="13" t="b">
        <v>0</v>
      </c>
      <c r="J63" s="13" t="b">
        <v>0</v>
      </c>
      <c r="K63" s="76">
        <v>6</v>
      </c>
      <c r="L63" s="105">
        <f>(BOHL01[[#This Row],[Column8]]-M63)</f>
        <v>1</v>
      </c>
      <c r="M63" s="76">
        <v>5</v>
      </c>
    </row>
    <row r="64" spans="2:13">
      <c r="B64" s="125">
        <v>46035</v>
      </c>
      <c r="C64" s="16" t="s">
        <v>85</v>
      </c>
      <c r="D64" s="31" t="s">
        <v>286</v>
      </c>
      <c r="E64" s="32" t="s">
        <v>287</v>
      </c>
      <c r="F64" s="13" t="b">
        <v>1</v>
      </c>
      <c r="G64" s="13" t="b">
        <v>1</v>
      </c>
      <c r="H64" s="13" t="b">
        <v>0</v>
      </c>
      <c r="I64" s="13" t="b">
        <v>0</v>
      </c>
      <c r="J64" s="13" t="b">
        <v>0</v>
      </c>
      <c r="K64" s="105">
        <v>8</v>
      </c>
      <c r="L64" s="105">
        <f>(BOHL01[[#This Row],[Column8]]-M64)</f>
        <v>1</v>
      </c>
      <c r="M64" s="105">
        <v>7</v>
      </c>
    </row>
    <row r="65" spans="2:19">
      <c r="B65" s="125">
        <v>46035</v>
      </c>
      <c r="C65" s="16" t="s">
        <v>56</v>
      </c>
      <c r="D65" s="31" t="s">
        <v>288</v>
      </c>
      <c r="E65" s="32" t="s">
        <v>231</v>
      </c>
      <c r="F65" s="13" t="b">
        <v>1</v>
      </c>
      <c r="G65" s="13" t="b">
        <v>1</v>
      </c>
      <c r="H65" s="13" t="b">
        <v>0</v>
      </c>
      <c r="I65" s="13" t="b">
        <v>0</v>
      </c>
      <c r="J65" s="13" t="b">
        <v>0</v>
      </c>
      <c r="K65" s="76">
        <v>22</v>
      </c>
      <c r="L65" s="105">
        <f>(BOHL01[[#This Row],[Column8]]-M65)</f>
        <v>5</v>
      </c>
      <c r="M65" s="76">
        <v>17</v>
      </c>
    </row>
    <row r="66" spans="2:19">
      <c r="B66" s="125">
        <v>46035</v>
      </c>
      <c r="C66" s="16" t="s">
        <v>56</v>
      </c>
      <c r="D66" s="31" t="s">
        <v>289</v>
      </c>
      <c r="E66" s="32" t="s">
        <v>290</v>
      </c>
      <c r="F66" s="13" t="b">
        <v>1</v>
      </c>
      <c r="G66" s="13" t="b">
        <v>1</v>
      </c>
      <c r="H66" s="13" t="b">
        <v>0</v>
      </c>
      <c r="I66" s="13" t="b">
        <v>0</v>
      </c>
      <c r="J66" s="13" t="b">
        <v>0</v>
      </c>
      <c r="K66" s="105">
        <v>27</v>
      </c>
      <c r="L66" s="105">
        <f>(BOHL01[[#This Row],[Column8]]-M66)</f>
        <v>9</v>
      </c>
      <c r="M66" s="105">
        <v>18</v>
      </c>
    </row>
    <row r="67" spans="2:19">
      <c r="B67" s="125">
        <v>46035</v>
      </c>
      <c r="C67" s="16" t="s">
        <v>56</v>
      </c>
      <c r="D67" s="31" t="s">
        <v>291</v>
      </c>
      <c r="E67" s="32" t="s">
        <v>292</v>
      </c>
      <c r="F67" s="13" t="b">
        <v>1</v>
      </c>
      <c r="G67" s="13" t="b">
        <v>1</v>
      </c>
      <c r="H67" s="13" t="b">
        <v>0</v>
      </c>
      <c r="I67" s="13" t="b">
        <v>0</v>
      </c>
      <c r="J67" s="13" t="b">
        <v>0</v>
      </c>
      <c r="K67" s="76">
        <v>8</v>
      </c>
      <c r="L67" s="105">
        <f>(BOHL01[[#This Row],[Column8]]-M67)</f>
        <v>3</v>
      </c>
      <c r="M67" s="76">
        <v>5</v>
      </c>
    </row>
    <row r="68" spans="2:19">
      <c r="B68" s="125">
        <v>46035</v>
      </c>
      <c r="C68" s="16" t="s">
        <v>63</v>
      </c>
      <c r="D68" s="31" t="s">
        <v>293</v>
      </c>
      <c r="E68" s="32" t="s">
        <v>294</v>
      </c>
      <c r="F68" s="13" t="b">
        <v>1</v>
      </c>
      <c r="G68" s="13" t="b">
        <v>1</v>
      </c>
      <c r="H68" s="13" t="b">
        <v>0</v>
      </c>
      <c r="I68" s="13" t="b">
        <v>0</v>
      </c>
      <c r="J68" s="13" t="b">
        <v>0</v>
      </c>
      <c r="K68" s="105">
        <v>13</v>
      </c>
      <c r="L68" s="105">
        <f>(BOHL01[[#This Row],[Column8]]-M68)</f>
        <v>1</v>
      </c>
      <c r="M68" s="105">
        <v>12</v>
      </c>
    </row>
    <row r="69" spans="2:19">
      <c r="B69" s="125">
        <v>46035</v>
      </c>
      <c r="C69" s="16" t="s">
        <v>85</v>
      </c>
      <c r="D69" s="31" t="s">
        <v>295</v>
      </c>
      <c r="E69" s="32" t="s">
        <v>296</v>
      </c>
      <c r="F69" s="13" t="b">
        <v>1</v>
      </c>
      <c r="G69" s="13" t="b">
        <v>1</v>
      </c>
      <c r="H69" s="13" t="b">
        <v>0</v>
      </c>
      <c r="I69" s="13" t="b">
        <v>0</v>
      </c>
      <c r="J69" s="13" t="b">
        <v>0</v>
      </c>
      <c r="K69" s="76">
        <v>21</v>
      </c>
      <c r="L69" s="105">
        <f>(BOHL01[[#This Row],[Column8]]-M69)</f>
        <v>4</v>
      </c>
      <c r="M69" s="76">
        <v>17</v>
      </c>
    </row>
    <row r="70" spans="2:19" ht="24">
      <c r="B70" s="125">
        <v>46035</v>
      </c>
      <c r="C70" s="16" t="s">
        <v>85</v>
      </c>
      <c r="D70" s="31" t="s">
        <v>297</v>
      </c>
      <c r="E70" s="32" t="s">
        <v>298</v>
      </c>
      <c r="F70" s="13" t="b">
        <v>1</v>
      </c>
      <c r="G70" s="13" t="b">
        <v>1</v>
      </c>
      <c r="H70" s="13" t="b">
        <v>0</v>
      </c>
      <c r="I70" s="13" t="b">
        <v>0</v>
      </c>
      <c r="J70" s="13" t="b">
        <v>0</v>
      </c>
      <c r="K70" s="105">
        <v>5</v>
      </c>
      <c r="L70" s="105">
        <f>(BOHL01[[#This Row],[Column8]]-M70)</f>
        <v>1</v>
      </c>
      <c r="M70" s="105">
        <v>4</v>
      </c>
    </row>
    <row r="71" spans="2:19" ht="52.5" customHeight="1">
      <c r="B71" s="125">
        <v>46035</v>
      </c>
      <c r="C71" s="16" t="s">
        <v>88</v>
      </c>
      <c r="D71" s="16" t="s">
        <v>299</v>
      </c>
      <c r="E71" s="114" t="s">
        <v>300</v>
      </c>
      <c r="F71" s="13" t="b">
        <v>1</v>
      </c>
      <c r="G71" s="13" t="b">
        <v>1</v>
      </c>
      <c r="H71" s="13" t="b">
        <v>0</v>
      </c>
      <c r="I71" s="13" t="b">
        <v>0</v>
      </c>
      <c r="J71" s="13" t="b">
        <v>0</v>
      </c>
      <c r="K71" s="76">
        <v>14</v>
      </c>
      <c r="L71" s="105">
        <f>(BOHL01[[#This Row],[Column8]]-M71)</f>
        <v>0</v>
      </c>
      <c r="M71" s="76">
        <v>14</v>
      </c>
      <c r="O71" s="209" t="s">
        <v>25</v>
      </c>
      <c r="P71" s="210"/>
      <c r="R71" s="209" t="s">
        <v>29</v>
      </c>
      <c r="S71" s="210"/>
    </row>
    <row r="72" spans="2:19">
      <c r="B72" s="125">
        <v>46035</v>
      </c>
      <c r="C72" s="16" t="s">
        <v>88</v>
      </c>
      <c r="D72" s="31" t="s">
        <v>301</v>
      </c>
      <c r="E72" s="32" t="s">
        <v>302</v>
      </c>
      <c r="F72" s="13" t="b">
        <v>1</v>
      </c>
      <c r="G72" s="13" t="b">
        <v>1</v>
      </c>
      <c r="H72" s="13" t="b">
        <v>0</v>
      </c>
      <c r="I72" s="13" t="b">
        <v>0</v>
      </c>
      <c r="J72" s="13" t="b">
        <v>0</v>
      </c>
      <c r="K72" s="105">
        <v>7</v>
      </c>
      <c r="L72" s="105">
        <f>(BOHL01[[#This Row],[Column8]]-M72)</f>
        <v>1</v>
      </c>
      <c r="M72" s="105">
        <v>6</v>
      </c>
      <c r="O72" s="115" t="s">
        <v>26</v>
      </c>
      <c r="P72" s="118">
        <f>P73+P74</f>
        <v>382</v>
      </c>
      <c r="R72" s="115" t="s">
        <v>26</v>
      </c>
      <c r="S72" s="118">
        <f>S73+S74</f>
        <v>382</v>
      </c>
    </row>
    <row r="73" spans="2:19">
      <c r="B73" s="125">
        <v>46035</v>
      </c>
      <c r="C73" s="16" t="s">
        <v>72</v>
      </c>
      <c r="D73" s="31" t="s">
        <v>303</v>
      </c>
      <c r="E73" s="32" t="s">
        <v>304</v>
      </c>
      <c r="F73" s="13" t="b">
        <v>1</v>
      </c>
      <c r="G73" s="13" t="b">
        <v>1</v>
      </c>
      <c r="H73" s="13" t="b">
        <v>0</v>
      </c>
      <c r="I73" s="13" t="b">
        <v>0</v>
      </c>
      <c r="J73" s="13" t="b">
        <v>0</v>
      </c>
      <c r="K73" s="76">
        <v>7</v>
      </c>
      <c r="L73" s="105">
        <f>(BOHL01[[#This Row],[Column8]]-M73)</f>
        <v>3</v>
      </c>
      <c r="M73" s="76">
        <v>4</v>
      </c>
      <c r="O73" s="116" t="s">
        <v>27</v>
      </c>
      <c r="P73" s="273">
        <f>COUNTIFS(F7:F388,TRUE)</f>
        <v>201</v>
      </c>
      <c r="R73" s="116" t="s">
        <v>27</v>
      </c>
      <c r="S73" s="273">
        <f>COUNTIFS(G7:G388,TRUE)</f>
        <v>165</v>
      </c>
    </row>
    <row r="74" spans="2:19">
      <c r="B74" s="125">
        <v>46035</v>
      </c>
      <c r="C74" s="16" t="s">
        <v>72</v>
      </c>
      <c r="D74" s="151" t="s">
        <v>305</v>
      </c>
      <c r="E74" s="107" t="s">
        <v>306</v>
      </c>
      <c r="F74" s="13" t="b">
        <v>1</v>
      </c>
      <c r="G74" s="13" t="b">
        <v>1</v>
      </c>
      <c r="H74" s="13" t="b">
        <v>0</v>
      </c>
      <c r="I74" s="13" t="b">
        <v>0</v>
      </c>
      <c r="J74" s="13" t="b">
        <v>0</v>
      </c>
      <c r="K74" s="105">
        <v>11</v>
      </c>
      <c r="L74" s="105">
        <f>(BOHL01[[#This Row],[Column8]]-M74)</f>
        <v>2</v>
      </c>
      <c r="M74" s="105">
        <v>9</v>
      </c>
      <c r="O74" s="117" t="s">
        <v>28</v>
      </c>
      <c r="P74" s="272">
        <f>COUNTIFS(F7:F388,FALSE)</f>
        <v>181</v>
      </c>
      <c r="R74" s="117" t="s">
        <v>28</v>
      </c>
      <c r="S74" s="272">
        <f>COUNTIFS(G7:G388,FALSE)</f>
        <v>217</v>
      </c>
    </row>
    <row r="75" spans="2:19">
      <c r="B75" s="125">
        <v>46035</v>
      </c>
      <c r="C75" s="16" t="s">
        <v>88</v>
      </c>
      <c r="D75" s="31" t="s">
        <v>307</v>
      </c>
      <c r="E75" s="32" t="s">
        <v>308</v>
      </c>
      <c r="F75" s="13" t="b">
        <v>1</v>
      </c>
      <c r="G75" s="13" t="b">
        <v>1</v>
      </c>
      <c r="H75" s="13" t="b">
        <v>0</v>
      </c>
      <c r="I75" s="13" t="b">
        <v>0</v>
      </c>
      <c r="J75" s="13" t="b">
        <v>0</v>
      </c>
      <c r="K75" s="76">
        <v>30</v>
      </c>
      <c r="L75" s="105">
        <f>(BOHL01[[#This Row],[Column8]]-M75)</f>
        <v>18</v>
      </c>
      <c r="M75" s="76">
        <v>12</v>
      </c>
    </row>
    <row r="76" spans="2:19">
      <c r="B76" s="125">
        <v>46124</v>
      </c>
      <c r="C76" s="16" t="s">
        <v>56</v>
      </c>
      <c r="D76" s="31" t="s">
        <v>309</v>
      </c>
      <c r="E76" s="32" t="s">
        <v>310</v>
      </c>
      <c r="F76" s="13" t="b">
        <v>1</v>
      </c>
      <c r="G76" s="13" t="b">
        <v>1</v>
      </c>
      <c r="H76" s="13" t="b">
        <v>0</v>
      </c>
      <c r="I76" s="13" t="b">
        <v>0</v>
      </c>
      <c r="J76" s="13" t="b">
        <v>0</v>
      </c>
      <c r="K76" s="105">
        <v>16</v>
      </c>
      <c r="L76" s="105">
        <f>(BOHL01[[#This Row],[Column8]]-M76)</f>
        <v>5</v>
      </c>
      <c r="M76" s="105">
        <v>11</v>
      </c>
    </row>
    <row r="77" spans="2:19">
      <c r="B77" s="125">
        <v>46042</v>
      </c>
      <c r="C77" s="16" t="s">
        <v>267</v>
      </c>
      <c r="D77" s="31" t="s">
        <v>311</v>
      </c>
      <c r="E77" s="32" t="s">
        <v>312</v>
      </c>
      <c r="F77" s="13" t="b">
        <v>1</v>
      </c>
      <c r="G77" s="13" t="b">
        <v>1</v>
      </c>
      <c r="H77" s="13" t="b">
        <v>0</v>
      </c>
      <c r="I77" s="13" t="b">
        <v>0</v>
      </c>
      <c r="J77" s="13" t="b">
        <v>0</v>
      </c>
      <c r="K77" s="76">
        <v>19</v>
      </c>
      <c r="L77" s="105">
        <f>(BOHL01[[#This Row],[Column8]]-M77)</f>
        <v>2</v>
      </c>
      <c r="M77" s="76">
        <v>17</v>
      </c>
    </row>
    <row r="78" spans="2:19">
      <c r="B78" s="125">
        <v>46042</v>
      </c>
      <c r="C78" s="16" t="s">
        <v>66</v>
      </c>
      <c r="D78" s="31" t="s">
        <v>313</v>
      </c>
      <c r="E78" s="32" t="s">
        <v>314</v>
      </c>
      <c r="F78" s="13" t="b">
        <v>1</v>
      </c>
      <c r="G78" s="13" t="b">
        <v>1</v>
      </c>
      <c r="H78" s="13" t="b">
        <v>0</v>
      </c>
      <c r="I78" s="13" t="b">
        <v>0</v>
      </c>
      <c r="J78" s="13" t="b">
        <v>0</v>
      </c>
      <c r="K78" s="105">
        <v>27</v>
      </c>
      <c r="L78" s="105">
        <f>(BOHL01[[#This Row],[Column8]]-M78)</f>
        <v>7</v>
      </c>
      <c r="M78" s="105">
        <v>20</v>
      </c>
    </row>
    <row r="79" spans="2:19">
      <c r="B79" s="125">
        <v>46042</v>
      </c>
      <c r="C79" s="16" t="s">
        <v>69</v>
      </c>
      <c r="D79" s="31" t="s">
        <v>315</v>
      </c>
      <c r="E79" s="32" t="s">
        <v>316</v>
      </c>
      <c r="F79" s="13" t="b">
        <v>1</v>
      </c>
      <c r="G79" s="13" t="b">
        <v>1</v>
      </c>
      <c r="H79" s="13" t="b">
        <v>0</v>
      </c>
      <c r="I79" s="13" t="b">
        <v>0</v>
      </c>
      <c r="J79" s="13" t="b">
        <v>0</v>
      </c>
      <c r="K79" s="76">
        <v>14</v>
      </c>
      <c r="L79" s="105">
        <f>(BOHL01[[#This Row],[Column8]]-M79)</f>
        <v>1</v>
      </c>
      <c r="M79" s="76">
        <v>13</v>
      </c>
    </row>
    <row r="80" spans="2:19">
      <c r="B80" s="125">
        <v>46042</v>
      </c>
      <c r="C80" s="16" t="s">
        <v>53</v>
      </c>
      <c r="D80" s="31" t="s">
        <v>317</v>
      </c>
      <c r="E80" s="32" t="s">
        <v>318</v>
      </c>
      <c r="F80" s="13" t="b">
        <v>1</v>
      </c>
      <c r="G80" s="13" t="b">
        <v>1</v>
      </c>
      <c r="H80" s="13" t="b">
        <v>0</v>
      </c>
      <c r="I80" s="13" t="b">
        <v>0</v>
      </c>
      <c r="J80" s="13" t="b">
        <v>0</v>
      </c>
      <c r="K80" s="105">
        <v>25</v>
      </c>
      <c r="L80" s="105">
        <f>(BOHL01[[#This Row],[Column8]]-M80)</f>
        <v>2</v>
      </c>
      <c r="M80" s="105">
        <v>23</v>
      </c>
    </row>
    <row r="81" spans="2:13" ht="24">
      <c r="B81" s="125">
        <v>46042</v>
      </c>
      <c r="C81" s="16" t="s">
        <v>63</v>
      </c>
      <c r="D81" s="16" t="s">
        <v>319</v>
      </c>
      <c r="E81" s="32" t="s">
        <v>320</v>
      </c>
      <c r="F81" s="13" t="b">
        <v>1</v>
      </c>
      <c r="G81" s="13" t="b">
        <v>1</v>
      </c>
      <c r="H81" s="13" t="b">
        <v>0</v>
      </c>
      <c r="I81" s="13" t="b">
        <v>0</v>
      </c>
      <c r="J81" s="13" t="b">
        <v>0</v>
      </c>
      <c r="K81" s="76">
        <v>4</v>
      </c>
      <c r="L81" s="105">
        <f>(BOHL01[[#This Row],[Column8]]-M81)</f>
        <v>2</v>
      </c>
      <c r="M81" s="76">
        <v>2</v>
      </c>
    </row>
    <row r="82" spans="2:13">
      <c r="B82" s="125"/>
      <c r="C82" s="16"/>
      <c r="D82" s="31" t="s">
        <v>321</v>
      </c>
      <c r="E82" s="32" t="s">
        <v>322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105"/>
      <c r="L82" s="105">
        <f>(BOHL01[[#This Row],[Column8]]-M82)</f>
        <v>0</v>
      </c>
      <c r="M82" s="105"/>
    </row>
    <row r="83" spans="2:13">
      <c r="B83" s="125">
        <v>46042</v>
      </c>
      <c r="C83" s="16" t="s">
        <v>63</v>
      </c>
      <c r="D83" s="16" t="s">
        <v>321</v>
      </c>
      <c r="E83" s="16" t="s">
        <v>323</v>
      </c>
      <c r="F83" s="13" t="b">
        <v>1</v>
      </c>
      <c r="G83" s="13" t="b">
        <v>1</v>
      </c>
      <c r="H83" s="13" t="b">
        <v>0</v>
      </c>
      <c r="I83" s="13" t="b">
        <v>0</v>
      </c>
      <c r="J83" s="13" t="b">
        <v>0</v>
      </c>
      <c r="K83" s="76">
        <v>9</v>
      </c>
      <c r="L83" s="105">
        <f>(BOHL01[[#This Row],[Column8]]-M83)</f>
        <v>0</v>
      </c>
      <c r="M83" s="76">
        <v>9</v>
      </c>
    </row>
    <row r="84" spans="2:13">
      <c r="B84" s="125"/>
      <c r="C84" s="16"/>
      <c r="D84" s="31" t="s">
        <v>321</v>
      </c>
      <c r="E84" s="32" t="s">
        <v>324</v>
      </c>
      <c r="F84" s="13" t="b">
        <v>1</v>
      </c>
      <c r="G84" s="13" t="b">
        <v>0</v>
      </c>
      <c r="H84" s="13" t="b">
        <v>0</v>
      </c>
      <c r="I84" s="13" t="b">
        <v>0</v>
      </c>
      <c r="J84" s="13" t="b">
        <v>0</v>
      </c>
      <c r="K84" s="105"/>
      <c r="L84" s="105">
        <f>(BOHL01[[#This Row],[Column8]]-M84)</f>
        <v>0</v>
      </c>
      <c r="M84" s="105"/>
    </row>
    <row r="85" spans="2:13">
      <c r="B85" s="125"/>
      <c r="C85" s="16"/>
      <c r="D85" s="16" t="s">
        <v>321</v>
      </c>
      <c r="E85" s="32" t="s">
        <v>272</v>
      </c>
      <c r="F85" s="13" t="b">
        <v>1</v>
      </c>
      <c r="G85" s="13" t="b">
        <v>0</v>
      </c>
      <c r="H85" s="13" t="b">
        <v>0</v>
      </c>
      <c r="I85" s="13" t="b">
        <v>0</v>
      </c>
      <c r="J85" s="13" t="b">
        <v>0</v>
      </c>
      <c r="K85" s="76"/>
      <c r="L85" s="105">
        <f>(BOHL01[[#This Row],[Column8]]-M85)</f>
        <v>0</v>
      </c>
      <c r="M85" s="76"/>
    </row>
    <row r="86" spans="2:13">
      <c r="B86" s="125"/>
      <c r="C86" s="16"/>
      <c r="D86" s="206" t="s">
        <v>321</v>
      </c>
      <c r="E86" s="32" t="s">
        <v>325</v>
      </c>
      <c r="F86" s="13" t="b">
        <v>1</v>
      </c>
      <c r="G86" s="13" t="b">
        <v>0</v>
      </c>
      <c r="H86" s="13" t="b">
        <v>0</v>
      </c>
      <c r="I86" s="13" t="b">
        <v>0</v>
      </c>
      <c r="J86" s="13" t="b">
        <v>0</v>
      </c>
      <c r="K86" s="105"/>
      <c r="L86" s="105">
        <f>(BOHL01[[#This Row],[Column8]]-M86)</f>
        <v>0</v>
      </c>
      <c r="M86" s="105"/>
    </row>
    <row r="87" spans="2:13" ht="24">
      <c r="B87" s="188"/>
      <c r="C87" s="52"/>
      <c r="D87" s="52" t="s">
        <v>321</v>
      </c>
      <c r="E87" s="32" t="s">
        <v>326</v>
      </c>
      <c r="F87" s="13" t="b">
        <v>1</v>
      </c>
      <c r="G87" s="13" t="b">
        <v>0</v>
      </c>
      <c r="H87" s="13" t="b">
        <v>0</v>
      </c>
      <c r="I87" s="13" t="b">
        <v>0</v>
      </c>
      <c r="J87" s="13" t="b">
        <v>0</v>
      </c>
      <c r="K87" s="76"/>
      <c r="L87" s="105">
        <f>(BOHL01[[#This Row],[Column8]]-M87)</f>
        <v>0</v>
      </c>
      <c r="M87" s="76"/>
    </row>
    <row r="88" spans="2:13">
      <c r="B88" s="187">
        <v>46128</v>
      </c>
      <c r="C88" s="16" t="s">
        <v>53</v>
      </c>
      <c r="D88" s="206" t="s">
        <v>327</v>
      </c>
      <c r="E88" s="107" t="s">
        <v>328</v>
      </c>
      <c r="F88" s="13" t="b">
        <v>1</v>
      </c>
      <c r="G88" s="13" t="b">
        <v>1</v>
      </c>
      <c r="H88" s="13" t="b">
        <v>0</v>
      </c>
      <c r="I88" s="13" t="b">
        <v>0</v>
      </c>
      <c r="J88" s="13" t="b">
        <v>0</v>
      </c>
      <c r="K88" s="105">
        <v>13</v>
      </c>
      <c r="L88" s="105">
        <f>(BOHL01[[#This Row],[Column8]]-M88)</f>
        <v>6</v>
      </c>
      <c r="M88" s="105">
        <v>7</v>
      </c>
    </row>
    <row r="89" spans="2:13">
      <c r="B89" s="189">
        <v>46042</v>
      </c>
      <c r="C89" s="51" t="s">
        <v>69</v>
      </c>
      <c r="D89" s="31" t="s">
        <v>329</v>
      </c>
      <c r="E89" s="32" t="s">
        <v>330</v>
      </c>
      <c r="F89" s="13" t="b">
        <v>1</v>
      </c>
      <c r="G89" s="13" t="b">
        <v>1</v>
      </c>
      <c r="H89" s="13" t="b">
        <v>0</v>
      </c>
      <c r="I89" s="13" t="b">
        <v>0</v>
      </c>
      <c r="J89" s="13" t="b">
        <v>0</v>
      </c>
      <c r="K89" s="76">
        <v>15</v>
      </c>
      <c r="L89" s="105">
        <f>(BOHL01[[#This Row],[Column8]]-M89)</f>
        <v>3</v>
      </c>
      <c r="M89" s="76">
        <v>12</v>
      </c>
    </row>
    <row r="90" spans="2:13" ht="24">
      <c r="B90" s="125"/>
      <c r="C90" s="16"/>
      <c r="D90" s="206" t="s">
        <v>331</v>
      </c>
      <c r="E90" s="32" t="s">
        <v>332</v>
      </c>
      <c r="F90" s="13" t="b">
        <v>0</v>
      </c>
      <c r="G90" s="13" t="b">
        <v>0</v>
      </c>
      <c r="H90" s="13" t="b">
        <v>0</v>
      </c>
      <c r="I90" s="13" t="b">
        <v>0</v>
      </c>
      <c r="J90" s="13" t="b">
        <v>0</v>
      </c>
      <c r="K90" s="105"/>
      <c r="L90" s="105">
        <f>(BOHL01[[#This Row],[Column8]]-M90)</f>
        <v>0</v>
      </c>
      <c r="M90" s="105"/>
    </row>
    <row r="91" spans="2:13" ht="24">
      <c r="B91" s="125"/>
      <c r="C91" s="16"/>
      <c r="D91" s="16" t="s">
        <v>333</v>
      </c>
      <c r="E91" s="32" t="s">
        <v>334</v>
      </c>
      <c r="F91" s="13" t="b">
        <v>0</v>
      </c>
      <c r="G91" s="13" t="b">
        <v>0</v>
      </c>
      <c r="H91" s="13" t="b">
        <v>0</v>
      </c>
      <c r="I91" s="13" t="b">
        <v>0</v>
      </c>
      <c r="J91" s="13" t="b">
        <v>0</v>
      </c>
      <c r="K91" s="76"/>
      <c r="L91" s="105">
        <f>(BOHL01[[#This Row],[Column8]]-M91)</f>
        <v>0</v>
      </c>
      <c r="M91" s="76"/>
    </row>
    <row r="92" spans="2:13">
      <c r="B92" s="125">
        <v>46124</v>
      </c>
      <c r="C92" s="16" t="s">
        <v>970</v>
      </c>
      <c r="D92" s="31" t="s">
        <v>335</v>
      </c>
      <c r="E92" s="32" t="s">
        <v>272</v>
      </c>
      <c r="F92" s="13" t="b">
        <v>1</v>
      </c>
      <c r="G92" s="13" t="b">
        <v>0</v>
      </c>
      <c r="H92" s="13" t="b">
        <v>0</v>
      </c>
      <c r="I92" s="13" t="b">
        <v>0</v>
      </c>
      <c r="J92" s="13" t="b">
        <v>0</v>
      </c>
      <c r="K92" s="105">
        <v>6</v>
      </c>
      <c r="L92" s="105">
        <f>(BOHL01[[#This Row],[Column8]]-M92)</f>
        <v>6</v>
      </c>
      <c r="M92" s="105">
        <v>0</v>
      </c>
    </row>
    <row r="93" spans="2:13">
      <c r="B93" s="125">
        <v>46042</v>
      </c>
      <c r="C93" s="16" t="s">
        <v>56</v>
      </c>
      <c r="D93" s="31" t="s">
        <v>336</v>
      </c>
      <c r="E93" s="32" t="s">
        <v>337</v>
      </c>
      <c r="F93" s="13" t="b">
        <v>1</v>
      </c>
      <c r="G93" s="13" t="b">
        <v>1</v>
      </c>
      <c r="H93" s="13" t="b">
        <v>0</v>
      </c>
      <c r="I93" s="13" t="b">
        <v>0</v>
      </c>
      <c r="J93" s="13" t="b">
        <v>0</v>
      </c>
      <c r="K93" s="76">
        <v>9</v>
      </c>
      <c r="L93" s="105">
        <f>(BOHL01[[#This Row],[Column8]]-M93)</f>
        <v>2</v>
      </c>
      <c r="M93" s="76">
        <v>7</v>
      </c>
    </row>
    <row r="94" spans="2:13" ht="24">
      <c r="B94" s="125">
        <v>46042</v>
      </c>
      <c r="C94" s="16" t="s">
        <v>56</v>
      </c>
      <c r="D94" s="31" t="s">
        <v>338</v>
      </c>
      <c r="E94" s="32" t="s">
        <v>339</v>
      </c>
      <c r="F94" s="13" t="b">
        <v>1</v>
      </c>
      <c r="G94" s="13" t="b">
        <v>1</v>
      </c>
      <c r="H94" s="13" t="b">
        <v>0</v>
      </c>
      <c r="I94" s="13" t="b">
        <v>0</v>
      </c>
      <c r="J94" s="13" t="b">
        <v>0</v>
      </c>
      <c r="K94" s="105">
        <v>24</v>
      </c>
      <c r="L94" s="105">
        <f>(BOHL01[[#This Row],[Column8]]-M94)</f>
        <v>5</v>
      </c>
      <c r="M94" s="105">
        <v>19</v>
      </c>
    </row>
    <row r="95" spans="2:13">
      <c r="B95" s="125">
        <v>46128</v>
      </c>
      <c r="C95" s="16" t="s">
        <v>78</v>
      </c>
      <c r="D95" s="16" t="s">
        <v>340</v>
      </c>
      <c r="E95" s="107" t="s">
        <v>341</v>
      </c>
      <c r="F95" s="13" t="b">
        <v>1</v>
      </c>
      <c r="G95" s="13" t="b">
        <v>1</v>
      </c>
      <c r="H95" s="13" t="b">
        <v>0</v>
      </c>
      <c r="I95" s="13" t="b">
        <v>0</v>
      </c>
      <c r="J95" s="13" t="b">
        <v>0</v>
      </c>
      <c r="K95" s="76">
        <v>4</v>
      </c>
      <c r="L95" s="105">
        <f>(BOHL01[[#This Row],[Column8]]-M95)</f>
        <v>1</v>
      </c>
      <c r="M95" s="76">
        <v>3</v>
      </c>
    </row>
    <row r="96" spans="2:13">
      <c r="B96" s="125">
        <v>46121</v>
      </c>
      <c r="C96" s="16" t="s">
        <v>63</v>
      </c>
      <c r="D96" s="31" t="s">
        <v>342</v>
      </c>
      <c r="E96" s="32" t="s">
        <v>343</v>
      </c>
      <c r="F96" s="13" t="b">
        <v>1</v>
      </c>
      <c r="G96" s="13" t="b">
        <v>1</v>
      </c>
      <c r="H96" s="13" t="b">
        <v>0</v>
      </c>
      <c r="I96" s="13" t="b">
        <v>0</v>
      </c>
      <c r="J96" s="13" t="b">
        <v>0</v>
      </c>
      <c r="K96" s="105">
        <v>13</v>
      </c>
      <c r="L96" s="105">
        <f>(BOHL01[[#This Row],[Column8]]-M96)</f>
        <v>1</v>
      </c>
      <c r="M96" s="105">
        <v>12</v>
      </c>
    </row>
    <row r="97" spans="2:13">
      <c r="B97" s="125"/>
      <c r="C97" s="16"/>
      <c r="D97" s="16" t="s">
        <v>344</v>
      </c>
      <c r="E97" s="32" t="s">
        <v>240</v>
      </c>
      <c r="F97" s="13" t="b">
        <v>1</v>
      </c>
      <c r="G97" s="13" t="b">
        <v>1</v>
      </c>
      <c r="H97" s="13" t="b">
        <v>0</v>
      </c>
      <c r="I97" s="13" t="b">
        <v>0</v>
      </c>
      <c r="J97" s="13" t="b">
        <v>0</v>
      </c>
      <c r="K97" s="76">
        <v>12</v>
      </c>
      <c r="L97" s="105">
        <f>(BOHL01[[#This Row],[Column8]]-M97)</f>
        <v>3</v>
      </c>
      <c r="M97" s="76">
        <v>9</v>
      </c>
    </row>
    <row r="98" spans="2:13">
      <c r="B98" s="125">
        <v>46121</v>
      </c>
      <c r="C98" s="16" t="s">
        <v>85</v>
      </c>
      <c r="D98" s="31" t="s">
        <v>345</v>
      </c>
      <c r="E98" s="32" t="s">
        <v>346</v>
      </c>
      <c r="F98" s="13" t="b">
        <v>1</v>
      </c>
      <c r="G98" s="13" t="b">
        <v>1</v>
      </c>
      <c r="H98" s="13" t="b">
        <v>0</v>
      </c>
      <c r="I98" s="13" t="b">
        <v>0</v>
      </c>
      <c r="J98" s="13" t="b">
        <v>0</v>
      </c>
      <c r="K98" s="105">
        <v>10</v>
      </c>
      <c r="L98" s="105">
        <f>(BOHL01[[#This Row],[Column8]]-M98)</f>
        <v>0</v>
      </c>
      <c r="M98" s="105">
        <v>10</v>
      </c>
    </row>
    <row r="99" spans="2:13">
      <c r="B99" s="125">
        <v>46121</v>
      </c>
      <c r="C99" s="16" t="s">
        <v>85</v>
      </c>
      <c r="D99" s="31" t="s">
        <v>347</v>
      </c>
      <c r="E99" s="32" t="s">
        <v>348</v>
      </c>
      <c r="F99" s="13" t="b">
        <v>1</v>
      </c>
      <c r="G99" s="13" t="b">
        <v>1</v>
      </c>
      <c r="H99" s="13" t="b">
        <v>0</v>
      </c>
      <c r="I99" s="13" t="b">
        <v>0</v>
      </c>
      <c r="J99" s="13" t="b">
        <v>0</v>
      </c>
      <c r="K99" s="76">
        <v>5</v>
      </c>
      <c r="L99" s="105">
        <f>(BOHL01[[#This Row],[Column8]]-M99)</f>
        <v>0</v>
      </c>
      <c r="M99" s="76">
        <v>5</v>
      </c>
    </row>
    <row r="100" spans="2:13">
      <c r="B100" s="125"/>
      <c r="C100" s="16"/>
      <c r="D100" s="16" t="s">
        <v>349</v>
      </c>
      <c r="E100" s="32" t="s">
        <v>350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05"/>
      <c r="L100" s="105">
        <f>(BOHL01[[#This Row],[Column8]]-M100)</f>
        <v>0</v>
      </c>
      <c r="M100" s="105"/>
    </row>
    <row r="101" spans="2:13">
      <c r="B101" s="125">
        <v>46121</v>
      </c>
      <c r="C101" s="16" t="s">
        <v>85</v>
      </c>
      <c r="D101" s="31" t="s">
        <v>351</v>
      </c>
      <c r="E101" s="32" t="s">
        <v>352</v>
      </c>
      <c r="F101" s="13" t="b">
        <v>1</v>
      </c>
      <c r="G101" s="13" t="b">
        <v>1</v>
      </c>
      <c r="H101" s="13" t="b">
        <v>0</v>
      </c>
      <c r="I101" s="13" t="b">
        <v>0</v>
      </c>
      <c r="J101" s="13" t="b">
        <v>0</v>
      </c>
      <c r="K101" s="76">
        <v>20</v>
      </c>
      <c r="L101" s="105">
        <f>(BOHL01[[#This Row],[Column8]]-M101)</f>
        <v>1</v>
      </c>
      <c r="M101" s="76">
        <v>19</v>
      </c>
    </row>
    <row r="102" spans="2:13">
      <c r="B102" s="125">
        <v>46121</v>
      </c>
      <c r="C102" s="16" t="s">
        <v>78</v>
      </c>
      <c r="D102" s="31" t="s">
        <v>353</v>
      </c>
      <c r="E102" s="32" t="s">
        <v>354</v>
      </c>
      <c r="F102" s="13" t="b">
        <v>1</v>
      </c>
      <c r="G102" s="13" t="b">
        <v>1</v>
      </c>
      <c r="H102" s="13" t="b">
        <v>0</v>
      </c>
      <c r="I102" s="13" t="b">
        <v>0</v>
      </c>
      <c r="J102" s="13" t="b">
        <v>0</v>
      </c>
      <c r="K102" s="105">
        <v>15</v>
      </c>
      <c r="L102" s="105">
        <f>(BOHL01[[#This Row],[Column8]]-M102)</f>
        <v>5</v>
      </c>
      <c r="M102" s="105">
        <v>10</v>
      </c>
    </row>
    <row r="103" spans="2:13" ht="49.5" customHeight="1">
      <c r="B103" s="125"/>
      <c r="C103" s="16"/>
      <c r="D103" s="16" t="s">
        <v>355</v>
      </c>
      <c r="E103" s="32" t="s">
        <v>356</v>
      </c>
      <c r="F103" s="13" t="b">
        <v>0</v>
      </c>
      <c r="G103" s="13" t="b">
        <v>0</v>
      </c>
      <c r="H103" s="13" t="b">
        <v>0</v>
      </c>
      <c r="I103" s="13" t="b">
        <v>0</v>
      </c>
      <c r="J103" s="13" t="b">
        <v>0</v>
      </c>
      <c r="K103" s="76"/>
      <c r="L103" s="105">
        <f>(BOHL01[[#This Row],[Column8]]-M103)</f>
        <v>0</v>
      </c>
      <c r="M103" s="76"/>
    </row>
    <row r="104" spans="2:13" ht="24">
      <c r="B104" s="125"/>
      <c r="C104" s="16"/>
      <c r="D104" s="31" t="s">
        <v>357</v>
      </c>
      <c r="E104" s="32" t="s">
        <v>358</v>
      </c>
      <c r="F104" s="13" t="b">
        <v>0</v>
      </c>
      <c r="G104" s="13" t="b">
        <v>0</v>
      </c>
      <c r="H104" s="13" t="b">
        <v>0</v>
      </c>
      <c r="I104" s="13" t="b">
        <v>0</v>
      </c>
      <c r="J104" s="13" t="b">
        <v>0</v>
      </c>
      <c r="K104" s="105"/>
      <c r="L104" s="105">
        <f>(BOHL01[[#This Row],[Column8]]-M104)</f>
        <v>0</v>
      </c>
      <c r="M104" s="105"/>
    </row>
    <row r="105" spans="2:13" ht="24">
      <c r="B105" s="125"/>
      <c r="C105" s="16"/>
      <c r="D105" s="31" t="s">
        <v>359</v>
      </c>
      <c r="E105" s="32" t="s">
        <v>360</v>
      </c>
      <c r="F105" s="13" t="b">
        <v>0</v>
      </c>
      <c r="G105" s="13" t="b">
        <v>0</v>
      </c>
      <c r="H105" s="13" t="b">
        <v>0</v>
      </c>
      <c r="I105" s="13" t="b">
        <v>0</v>
      </c>
      <c r="J105" s="13" t="b">
        <v>0</v>
      </c>
      <c r="K105" s="76"/>
      <c r="L105" s="105">
        <f>(BOHL01[[#This Row],[Column8]]-M105)</f>
        <v>0</v>
      </c>
      <c r="M105" s="76"/>
    </row>
    <row r="106" spans="2:13" ht="24">
      <c r="B106" s="125"/>
      <c r="C106" s="16"/>
      <c r="D106" s="31" t="s">
        <v>361</v>
      </c>
      <c r="E106" s="32" t="s">
        <v>360</v>
      </c>
      <c r="F106" s="13" t="b">
        <v>0</v>
      </c>
      <c r="G106" s="13" t="b">
        <v>0</v>
      </c>
      <c r="H106" s="13" t="b">
        <v>0</v>
      </c>
      <c r="I106" s="13" t="b">
        <v>0</v>
      </c>
      <c r="J106" s="13" t="b">
        <v>0</v>
      </c>
      <c r="K106" s="105"/>
      <c r="L106" s="105">
        <f>(BOHL01[[#This Row],[Column8]]-M106)</f>
        <v>0</v>
      </c>
      <c r="M106" s="105"/>
    </row>
    <row r="107" spans="2:13" ht="24">
      <c r="B107" s="125"/>
      <c r="C107" s="16"/>
      <c r="D107" s="31" t="s">
        <v>362</v>
      </c>
      <c r="E107" s="32" t="s">
        <v>360</v>
      </c>
      <c r="F107" s="13" t="b">
        <v>0</v>
      </c>
      <c r="G107" s="13" t="b">
        <v>0</v>
      </c>
      <c r="H107" s="13" t="b">
        <v>0</v>
      </c>
      <c r="I107" s="13" t="b">
        <v>0</v>
      </c>
      <c r="J107" s="13" t="b">
        <v>0</v>
      </c>
      <c r="K107" s="76"/>
      <c r="L107" s="105">
        <f>(BOHL01[[#This Row],[Column8]]-M107)</f>
        <v>0</v>
      </c>
      <c r="M107" s="76"/>
    </row>
    <row r="108" spans="2:13" ht="36">
      <c r="B108" s="125"/>
      <c r="C108" s="16"/>
      <c r="D108" s="31" t="s">
        <v>363</v>
      </c>
      <c r="E108" s="32" t="s">
        <v>364</v>
      </c>
      <c r="F108" s="13" t="b">
        <v>0</v>
      </c>
      <c r="G108" s="13" t="b">
        <v>0</v>
      </c>
      <c r="H108" s="13" t="b">
        <v>0</v>
      </c>
      <c r="I108" s="13" t="b">
        <v>0</v>
      </c>
      <c r="J108" s="13" t="b">
        <v>0</v>
      </c>
      <c r="K108" s="105"/>
      <c r="L108" s="105">
        <f>(BOHL01[[#This Row],[Column8]]-M108)</f>
        <v>0</v>
      </c>
      <c r="M108" s="105"/>
    </row>
    <row r="109" spans="2:13">
      <c r="B109" s="125"/>
      <c r="C109" s="16"/>
      <c r="D109" s="31" t="s">
        <v>365</v>
      </c>
      <c r="E109" s="32" t="s">
        <v>240</v>
      </c>
      <c r="F109" s="13" t="b">
        <v>0</v>
      </c>
      <c r="G109" s="13" t="b">
        <v>0</v>
      </c>
      <c r="H109" s="13" t="b">
        <v>0</v>
      </c>
      <c r="I109" s="13" t="b">
        <v>0</v>
      </c>
      <c r="J109" s="13" t="b">
        <v>0</v>
      </c>
      <c r="K109" s="76"/>
      <c r="L109" s="105">
        <f>(BOHL01[[#This Row],[Column8]]-M109)</f>
        <v>0</v>
      </c>
      <c r="M109" s="76"/>
    </row>
    <row r="110" spans="2:13">
      <c r="B110" s="125"/>
      <c r="C110" s="16"/>
      <c r="D110" s="31" t="s">
        <v>366</v>
      </c>
      <c r="E110" s="32" t="s">
        <v>231</v>
      </c>
      <c r="F110" s="13" t="b">
        <v>0</v>
      </c>
      <c r="G110" s="13" t="b">
        <v>0</v>
      </c>
      <c r="H110" s="13" t="b">
        <v>0</v>
      </c>
      <c r="I110" s="13" t="b">
        <v>0</v>
      </c>
      <c r="J110" s="13" t="b">
        <v>0</v>
      </c>
      <c r="K110" s="105"/>
      <c r="L110" s="105">
        <f>(BOHL01[[#This Row],[Column8]]-M110)</f>
        <v>0</v>
      </c>
      <c r="M110" s="105"/>
    </row>
    <row r="111" spans="2:13">
      <c r="B111" s="125"/>
      <c r="C111" s="16"/>
      <c r="D111" s="31" t="s">
        <v>367</v>
      </c>
      <c r="E111" s="32" t="s">
        <v>242</v>
      </c>
      <c r="F111" s="13" t="b">
        <v>0</v>
      </c>
      <c r="G111" s="13" t="b">
        <v>0</v>
      </c>
      <c r="H111" s="13" t="b">
        <v>0</v>
      </c>
      <c r="I111" s="13" t="b">
        <v>0</v>
      </c>
      <c r="J111" s="13" t="b">
        <v>0</v>
      </c>
      <c r="K111" s="76"/>
      <c r="L111" s="105">
        <f>(BOHL01[[#This Row],[Column8]]-M111)</f>
        <v>0</v>
      </c>
      <c r="M111" s="76"/>
    </row>
    <row r="112" spans="2:13">
      <c r="B112" s="125">
        <v>46112</v>
      </c>
      <c r="C112" s="16" t="s">
        <v>63</v>
      </c>
      <c r="D112" s="31" t="s">
        <v>368</v>
      </c>
      <c r="E112" s="32" t="s">
        <v>272</v>
      </c>
      <c r="F112" s="13" t="b">
        <v>1</v>
      </c>
      <c r="G112" s="13" t="b">
        <v>1</v>
      </c>
      <c r="H112" s="13" t="b">
        <v>0</v>
      </c>
      <c r="I112" s="13" t="b">
        <v>0</v>
      </c>
      <c r="J112" s="13" t="b">
        <v>0</v>
      </c>
      <c r="K112" s="105">
        <v>51</v>
      </c>
      <c r="L112" s="105">
        <f>(BOHL01[[#This Row],[Column8]]-M112)</f>
        <v>9</v>
      </c>
      <c r="M112" s="105">
        <v>42</v>
      </c>
    </row>
    <row r="113" spans="2:13">
      <c r="B113" s="125">
        <v>46112</v>
      </c>
      <c r="C113" s="16" t="s">
        <v>85</v>
      </c>
      <c r="D113" s="31" t="s">
        <v>369</v>
      </c>
      <c r="E113" s="32" t="s">
        <v>370</v>
      </c>
      <c r="F113" s="13" t="b">
        <v>1</v>
      </c>
      <c r="G113" s="13" t="b">
        <v>1</v>
      </c>
      <c r="H113" s="13" t="b">
        <v>0</v>
      </c>
      <c r="I113" s="13" t="b">
        <v>0</v>
      </c>
      <c r="J113" s="13" t="b">
        <v>0</v>
      </c>
      <c r="K113" s="76">
        <v>17</v>
      </c>
      <c r="L113" s="105">
        <f>(BOHL01[[#This Row],[Column8]]-M113)</f>
        <v>3</v>
      </c>
      <c r="M113" s="76">
        <v>14</v>
      </c>
    </row>
    <row r="114" spans="2:13">
      <c r="B114" s="125">
        <v>46112</v>
      </c>
      <c r="C114" s="16" t="s">
        <v>85</v>
      </c>
      <c r="D114" s="31" t="s">
        <v>371</v>
      </c>
      <c r="E114" s="32" t="s">
        <v>372</v>
      </c>
      <c r="F114" s="13" t="b">
        <v>1</v>
      </c>
      <c r="G114" s="13" t="b">
        <v>1</v>
      </c>
      <c r="H114" s="13" t="b">
        <v>0</v>
      </c>
      <c r="I114" s="13" t="b">
        <v>0</v>
      </c>
      <c r="J114" s="13" t="b">
        <v>0</v>
      </c>
      <c r="K114" s="105">
        <v>18</v>
      </c>
      <c r="L114" s="105">
        <f>(BOHL01[[#This Row],[Column8]]-M114)</f>
        <v>6</v>
      </c>
      <c r="M114" s="105">
        <v>12</v>
      </c>
    </row>
    <row r="115" spans="2:13" ht="24">
      <c r="B115" s="125">
        <v>46112</v>
      </c>
      <c r="C115" s="16" t="s">
        <v>85</v>
      </c>
      <c r="D115" s="31" t="s">
        <v>373</v>
      </c>
      <c r="E115" s="32" t="s">
        <v>374</v>
      </c>
      <c r="F115" s="13" t="b">
        <v>1</v>
      </c>
      <c r="G115" s="13" t="b">
        <v>1</v>
      </c>
      <c r="H115" s="13" t="b">
        <v>0</v>
      </c>
      <c r="I115" s="13" t="b">
        <v>0</v>
      </c>
      <c r="J115" s="13" t="b">
        <v>0</v>
      </c>
      <c r="K115" s="76">
        <v>22</v>
      </c>
      <c r="L115" s="105">
        <f>(BOHL01[[#This Row],[Column8]]-M115)</f>
        <v>4</v>
      </c>
      <c r="M115" s="76">
        <v>18</v>
      </c>
    </row>
    <row r="116" spans="2:13">
      <c r="B116" s="125">
        <v>46112</v>
      </c>
      <c r="C116" s="16" t="s">
        <v>85</v>
      </c>
      <c r="D116" s="31" t="s">
        <v>375</v>
      </c>
      <c r="E116" s="32" t="s">
        <v>376</v>
      </c>
      <c r="F116" s="13" t="b">
        <v>1</v>
      </c>
      <c r="G116" s="13" t="b">
        <v>1</v>
      </c>
      <c r="H116" s="13" t="b">
        <v>0</v>
      </c>
      <c r="I116" s="13" t="b">
        <v>0</v>
      </c>
      <c r="J116" s="13" t="b">
        <v>0</v>
      </c>
      <c r="K116" s="105">
        <v>16</v>
      </c>
      <c r="L116" s="105">
        <f>(BOHL01[[#This Row],[Column8]]-M116)</f>
        <v>5</v>
      </c>
      <c r="M116" s="105">
        <v>11</v>
      </c>
    </row>
    <row r="117" spans="2:13">
      <c r="B117" s="125">
        <v>46112</v>
      </c>
      <c r="C117" s="16" t="s">
        <v>85</v>
      </c>
      <c r="D117" s="31" t="s">
        <v>377</v>
      </c>
      <c r="E117" s="32" t="s">
        <v>378</v>
      </c>
      <c r="F117" s="13" t="b">
        <v>1</v>
      </c>
      <c r="G117" s="13" t="b">
        <v>1</v>
      </c>
      <c r="H117" s="13" t="b">
        <v>0</v>
      </c>
      <c r="I117" s="13" t="b">
        <v>0</v>
      </c>
      <c r="J117" s="13" t="b">
        <v>0</v>
      </c>
      <c r="K117" s="76">
        <v>18</v>
      </c>
      <c r="L117" s="105">
        <f>(BOHL01[[#This Row],[Column8]]-M117)</f>
        <v>3</v>
      </c>
      <c r="M117" s="76">
        <v>15</v>
      </c>
    </row>
    <row r="118" spans="2:13" ht="24">
      <c r="B118" s="125">
        <v>46112</v>
      </c>
      <c r="C118" s="16" t="s">
        <v>85</v>
      </c>
      <c r="D118" s="31" t="s">
        <v>379</v>
      </c>
      <c r="E118" s="32" t="s">
        <v>380</v>
      </c>
      <c r="F118" s="13" t="b">
        <v>1</v>
      </c>
      <c r="G118" s="13" t="b">
        <v>1</v>
      </c>
      <c r="H118" s="13" t="b">
        <v>0</v>
      </c>
      <c r="I118" s="13" t="b">
        <v>0</v>
      </c>
      <c r="J118" s="13" t="b">
        <v>0</v>
      </c>
      <c r="K118" s="105">
        <v>17</v>
      </c>
      <c r="L118" s="105">
        <f>(BOHL01[[#This Row],[Column8]]-M118)</f>
        <v>5</v>
      </c>
      <c r="M118" s="105">
        <v>12</v>
      </c>
    </row>
    <row r="119" spans="2:13">
      <c r="B119" s="125">
        <v>46134</v>
      </c>
      <c r="C119" s="16" t="s">
        <v>971</v>
      </c>
      <c r="D119" s="31" t="s">
        <v>381</v>
      </c>
      <c r="E119" s="32" t="s">
        <v>248</v>
      </c>
      <c r="F119" s="13" t="b">
        <v>1</v>
      </c>
      <c r="G119" s="13" t="b">
        <v>0</v>
      </c>
      <c r="H119" s="13" t="b">
        <v>0</v>
      </c>
      <c r="I119" s="13" t="b">
        <v>0</v>
      </c>
      <c r="J119" s="13" t="b">
        <v>0</v>
      </c>
      <c r="K119" s="76">
        <v>28</v>
      </c>
      <c r="L119" s="105">
        <f>(BOHL01[[#This Row],[Column8]]-M119)</f>
        <v>22</v>
      </c>
      <c r="M119" s="76">
        <v>6</v>
      </c>
    </row>
    <row r="120" spans="2:13">
      <c r="B120" s="125"/>
      <c r="C120" s="16"/>
      <c r="D120" s="31" t="s">
        <v>382</v>
      </c>
      <c r="E120" s="32" t="s">
        <v>383</v>
      </c>
      <c r="F120" s="13" t="b">
        <v>0</v>
      </c>
      <c r="G120" s="13" t="b">
        <v>0</v>
      </c>
      <c r="H120" s="13" t="b">
        <v>0</v>
      </c>
      <c r="I120" s="13" t="b">
        <v>0</v>
      </c>
      <c r="J120" s="13" t="b">
        <v>0</v>
      </c>
      <c r="K120" s="105"/>
      <c r="L120" s="105">
        <f>(BOHL01[[#This Row],[Column8]]-M120)</f>
        <v>0</v>
      </c>
      <c r="M120" s="105"/>
    </row>
    <row r="121" spans="2:13">
      <c r="B121" s="125">
        <v>46052</v>
      </c>
      <c r="C121" s="16" t="s">
        <v>66</v>
      </c>
      <c r="D121" s="31" t="s">
        <v>384</v>
      </c>
      <c r="E121" s="32" t="s">
        <v>385</v>
      </c>
      <c r="F121" s="13" t="b">
        <v>1</v>
      </c>
      <c r="G121" s="13" t="b">
        <v>1</v>
      </c>
      <c r="H121" s="13" t="b">
        <v>0</v>
      </c>
      <c r="I121" s="13" t="b">
        <v>0</v>
      </c>
      <c r="J121" s="13" t="b">
        <v>0</v>
      </c>
      <c r="K121" s="76">
        <v>12</v>
      </c>
      <c r="L121" s="105">
        <f>(BOHL01[[#This Row],[Column8]]-M121)</f>
        <v>4</v>
      </c>
      <c r="M121" s="76">
        <v>8</v>
      </c>
    </row>
    <row r="122" spans="2:13">
      <c r="B122" s="125"/>
      <c r="C122" s="16"/>
      <c r="D122" s="31" t="s">
        <v>386</v>
      </c>
      <c r="E122" s="32" t="s">
        <v>242</v>
      </c>
      <c r="F122" s="13" t="b">
        <v>0</v>
      </c>
      <c r="G122" s="13" t="b">
        <v>0</v>
      </c>
      <c r="H122" s="13" t="b">
        <v>0</v>
      </c>
      <c r="I122" s="13" t="b">
        <v>0</v>
      </c>
      <c r="J122" s="13" t="b">
        <v>0</v>
      </c>
      <c r="K122" s="105"/>
      <c r="L122" s="105">
        <f>(BOHL01[[#This Row],[Column8]]-M122)</f>
        <v>0</v>
      </c>
      <c r="M122" s="105"/>
    </row>
    <row r="123" spans="2:13">
      <c r="B123" s="125"/>
      <c r="C123" s="16"/>
      <c r="D123" s="31" t="s">
        <v>387</v>
      </c>
      <c r="E123" s="32" t="s">
        <v>388</v>
      </c>
      <c r="F123" s="13" t="b">
        <v>0</v>
      </c>
      <c r="G123" s="13" t="b">
        <v>0</v>
      </c>
      <c r="H123" s="13" t="b">
        <v>0</v>
      </c>
      <c r="I123" s="13" t="b">
        <v>0</v>
      </c>
      <c r="J123" s="13" t="b">
        <v>0</v>
      </c>
      <c r="K123" s="76"/>
      <c r="L123" s="105">
        <f>(BOHL01[[#This Row],[Column8]]-M123)</f>
        <v>0</v>
      </c>
      <c r="M123" s="76"/>
    </row>
    <row r="124" spans="2:13" ht="36">
      <c r="B124" s="125"/>
      <c r="C124" s="16"/>
      <c r="D124" s="31" t="s">
        <v>389</v>
      </c>
      <c r="E124" s="32" t="s">
        <v>390</v>
      </c>
      <c r="F124" s="13" t="b">
        <v>0</v>
      </c>
      <c r="G124" s="13" t="b">
        <v>0</v>
      </c>
      <c r="H124" s="13" t="b">
        <v>0</v>
      </c>
      <c r="I124" s="13" t="b">
        <v>0</v>
      </c>
      <c r="J124" s="13" t="b">
        <v>0</v>
      </c>
      <c r="K124" s="105"/>
      <c r="L124" s="105">
        <f>(BOHL01[[#This Row],[Column8]]-M124)</f>
        <v>0</v>
      </c>
      <c r="M124" s="105"/>
    </row>
    <row r="125" spans="2:13">
      <c r="B125" s="125"/>
      <c r="C125" s="16"/>
      <c r="D125" s="31" t="s">
        <v>391</v>
      </c>
      <c r="E125" s="32" t="s">
        <v>231</v>
      </c>
      <c r="F125" s="13" t="b">
        <v>0</v>
      </c>
      <c r="G125" s="13" t="b">
        <v>0</v>
      </c>
      <c r="H125" s="13" t="b">
        <v>0</v>
      </c>
      <c r="I125" s="13" t="b">
        <v>0</v>
      </c>
      <c r="J125" s="13" t="b">
        <v>0</v>
      </c>
      <c r="K125" s="76"/>
      <c r="L125" s="105">
        <f>(BOHL01[[#This Row],[Column8]]-M125)</f>
        <v>0</v>
      </c>
      <c r="M125" s="76"/>
    </row>
    <row r="126" spans="2:13">
      <c r="B126" s="125"/>
      <c r="C126" s="16"/>
      <c r="D126" s="31" t="s">
        <v>392</v>
      </c>
      <c r="E126" s="32" t="s">
        <v>393</v>
      </c>
      <c r="F126" s="13" t="b">
        <v>0</v>
      </c>
      <c r="G126" s="13" t="b">
        <v>0</v>
      </c>
      <c r="H126" s="13" t="b">
        <v>0</v>
      </c>
      <c r="I126" s="13" t="b">
        <v>0</v>
      </c>
      <c r="J126" s="13" t="b">
        <v>0</v>
      </c>
      <c r="K126" s="105"/>
      <c r="L126" s="105">
        <f>(BOHL01[[#This Row],[Column8]]-M126)</f>
        <v>0</v>
      </c>
      <c r="M126" s="105"/>
    </row>
    <row r="127" spans="2:13">
      <c r="B127" s="125"/>
      <c r="C127" s="16"/>
      <c r="D127" s="31" t="s">
        <v>394</v>
      </c>
      <c r="E127" s="32" t="s">
        <v>246</v>
      </c>
      <c r="F127" s="13" t="b">
        <v>0</v>
      </c>
      <c r="G127" s="13" t="b">
        <v>0</v>
      </c>
      <c r="H127" s="13" t="b">
        <v>0</v>
      </c>
      <c r="I127" s="13" t="b">
        <v>0</v>
      </c>
      <c r="J127" s="13" t="b">
        <v>0</v>
      </c>
      <c r="K127" s="76"/>
      <c r="L127" s="105">
        <f>(BOHL01[[#This Row],[Column8]]-M127)</f>
        <v>0</v>
      </c>
      <c r="M127" s="76"/>
    </row>
    <row r="128" spans="2:13">
      <c r="B128" s="125"/>
      <c r="C128" s="16"/>
      <c r="D128" s="31" t="s">
        <v>395</v>
      </c>
      <c r="E128" s="32" t="s">
        <v>248</v>
      </c>
      <c r="F128" s="13" t="b">
        <v>0</v>
      </c>
      <c r="G128" s="13" t="b">
        <v>0</v>
      </c>
      <c r="H128" s="13" t="b">
        <v>0</v>
      </c>
      <c r="I128" s="13" t="b">
        <v>0</v>
      </c>
      <c r="J128" s="13" t="b">
        <v>0</v>
      </c>
      <c r="K128" s="105"/>
      <c r="L128" s="105">
        <f>(BOHL01[[#This Row],[Column8]]-M128)</f>
        <v>0</v>
      </c>
      <c r="M128" s="105"/>
    </row>
    <row r="129" spans="2:13">
      <c r="B129" s="125"/>
      <c r="C129" s="16"/>
      <c r="D129" s="31" t="s">
        <v>396</v>
      </c>
      <c r="E129" s="32" t="s">
        <v>238</v>
      </c>
      <c r="F129" s="13" t="b">
        <v>0</v>
      </c>
      <c r="G129" s="13" t="b">
        <v>0</v>
      </c>
      <c r="H129" s="13" t="b">
        <v>0</v>
      </c>
      <c r="I129" s="13" t="b">
        <v>0</v>
      </c>
      <c r="J129" s="13" t="b">
        <v>0</v>
      </c>
      <c r="K129" s="76"/>
      <c r="L129" s="105">
        <f>(BOHL01[[#This Row],[Column8]]-M129)</f>
        <v>0</v>
      </c>
      <c r="M129" s="76"/>
    </row>
    <row r="130" spans="2:13">
      <c r="B130" s="125"/>
      <c r="C130" s="16"/>
      <c r="D130" s="31" t="s">
        <v>397</v>
      </c>
      <c r="E130" s="32" t="s">
        <v>236</v>
      </c>
      <c r="F130" s="13" t="b">
        <v>0</v>
      </c>
      <c r="G130" s="13" t="b">
        <v>0</v>
      </c>
      <c r="H130" s="13" t="b">
        <v>0</v>
      </c>
      <c r="I130" s="13" t="b">
        <v>0</v>
      </c>
      <c r="J130" s="13" t="b">
        <v>0</v>
      </c>
      <c r="K130" s="105"/>
      <c r="L130" s="105">
        <f>(BOHL01[[#This Row],[Column8]]-M130)</f>
        <v>0</v>
      </c>
      <c r="M130" s="105"/>
    </row>
    <row r="131" spans="2:13">
      <c r="B131" s="125"/>
      <c r="C131" s="16"/>
      <c r="D131" s="31" t="s">
        <v>398</v>
      </c>
      <c r="E131" s="32" t="s">
        <v>399</v>
      </c>
      <c r="F131" s="13" t="b">
        <v>0</v>
      </c>
      <c r="G131" s="13" t="b">
        <v>0</v>
      </c>
      <c r="H131" s="13" t="b">
        <v>0</v>
      </c>
      <c r="I131" s="13" t="b">
        <v>0</v>
      </c>
      <c r="J131" s="13" t="b">
        <v>0</v>
      </c>
      <c r="K131" s="76"/>
      <c r="L131" s="105">
        <f>(BOHL01[[#This Row],[Column8]]-M131)</f>
        <v>0</v>
      </c>
      <c r="M131" s="76"/>
    </row>
    <row r="132" spans="2:13">
      <c r="B132" s="125"/>
      <c r="C132" s="16"/>
      <c r="D132" s="206" t="s">
        <v>400</v>
      </c>
      <c r="E132" s="107" t="s">
        <v>231</v>
      </c>
      <c r="F132" s="13" t="b">
        <v>0</v>
      </c>
      <c r="G132" s="13" t="b">
        <v>0</v>
      </c>
      <c r="H132" s="13" t="b">
        <v>0</v>
      </c>
      <c r="I132" s="13" t="b">
        <v>0</v>
      </c>
      <c r="J132" s="13" t="b">
        <v>0</v>
      </c>
      <c r="K132" s="105">
        <v>0</v>
      </c>
      <c r="L132" s="105">
        <f>(BOHL01[[#This Row],[Column8]]-M132)</f>
        <v>0</v>
      </c>
      <c r="M132" s="105">
        <v>0</v>
      </c>
    </row>
    <row r="133" spans="2:13">
      <c r="B133" s="125"/>
      <c r="C133" s="16"/>
      <c r="D133" s="31" t="s">
        <v>401</v>
      </c>
      <c r="E133" s="32" t="s">
        <v>242</v>
      </c>
      <c r="F133" s="13" t="b">
        <v>0</v>
      </c>
      <c r="G133" s="13" t="b">
        <v>0</v>
      </c>
      <c r="H133" s="13" t="b">
        <v>0</v>
      </c>
      <c r="I133" s="13" t="b">
        <v>0</v>
      </c>
      <c r="J133" s="13" t="b">
        <v>0</v>
      </c>
      <c r="K133" s="76"/>
      <c r="L133" s="105">
        <f>(BOHL01[[#This Row],[Column8]]-M133)</f>
        <v>0</v>
      </c>
      <c r="M133" s="76"/>
    </row>
    <row r="134" spans="2:13" ht="24">
      <c r="B134" s="125"/>
      <c r="C134" s="16"/>
      <c r="D134" s="31" t="s">
        <v>402</v>
      </c>
      <c r="E134" s="32" t="s">
        <v>360</v>
      </c>
      <c r="F134" s="13" t="b">
        <v>0</v>
      </c>
      <c r="G134" s="13" t="b">
        <v>0</v>
      </c>
      <c r="H134" s="13" t="b">
        <v>0</v>
      </c>
      <c r="I134" s="13" t="b">
        <v>0</v>
      </c>
      <c r="J134" s="13" t="b">
        <v>0</v>
      </c>
      <c r="K134" s="105"/>
      <c r="L134" s="105">
        <f>(BOHL01[[#This Row],[Column8]]-M134)</f>
        <v>0</v>
      </c>
      <c r="M134" s="105"/>
    </row>
    <row r="135" spans="2:13">
      <c r="B135" s="125"/>
      <c r="C135" s="16"/>
      <c r="D135" s="31" t="s">
        <v>403</v>
      </c>
      <c r="E135" s="32" t="s">
        <v>242</v>
      </c>
      <c r="F135" s="13" t="b">
        <v>0</v>
      </c>
      <c r="G135" s="13" t="b">
        <v>0</v>
      </c>
      <c r="H135" s="13" t="b">
        <v>0</v>
      </c>
      <c r="I135" s="13" t="b">
        <v>0</v>
      </c>
      <c r="J135" s="13" t="b">
        <v>0</v>
      </c>
      <c r="K135" s="76"/>
      <c r="L135" s="105">
        <f>(BOHL01[[#This Row],[Column8]]-M135)</f>
        <v>0</v>
      </c>
      <c r="M135" s="76"/>
    </row>
    <row r="136" spans="2:13">
      <c r="B136" s="125">
        <v>46053</v>
      </c>
      <c r="C136" s="16" t="s">
        <v>66</v>
      </c>
      <c r="D136" s="31" t="s">
        <v>404</v>
      </c>
      <c r="E136" s="32" t="s">
        <v>248</v>
      </c>
      <c r="F136" s="13" t="b">
        <v>1</v>
      </c>
      <c r="G136" s="13" t="b">
        <v>1</v>
      </c>
      <c r="H136" s="13" t="b">
        <v>0</v>
      </c>
      <c r="I136" s="13" t="b">
        <v>0</v>
      </c>
      <c r="J136" s="13" t="b">
        <v>0</v>
      </c>
      <c r="K136" s="105">
        <v>18</v>
      </c>
      <c r="L136" s="105">
        <f>(BOHL01[[#This Row],[Column8]]-M136)</f>
        <v>3</v>
      </c>
      <c r="M136" s="105">
        <v>15</v>
      </c>
    </row>
    <row r="137" spans="2:13">
      <c r="B137" s="125">
        <v>46053</v>
      </c>
      <c r="C137" s="16" t="s">
        <v>66</v>
      </c>
      <c r="D137" s="31" t="s">
        <v>405</v>
      </c>
      <c r="E137" s="32" t="s">
        <v>246</v>
      </c>
      <c r="F137" s="13" t="b">
        <v>1</v>
      </c>
      <c r="G137" s="13" t="b">
        <v>1</v>
      </c>
      <c r="H137" s="13" t="b">
        <v>0</v>
      </c>
      <c r="I137" s="13" t="b">
        <v>0</v>
      </c>
      <c r="J137" s="13" t="b">
        <v>0</v>
      </c>
      <c r="K137" s="76">
        <v>14</v>
      </c>
      <c r="L137" s="105">
        <f>(BOHL01[[#This Row],[Column8]]-M137)</f>
        <v>4</v>
      </c>
      <c r="M137" s="76">
        <v>10</v>
      </c>
    </row>
    <row r="138" spans="2:13">
      <c r="B138" s="125"/>
      <c r="C138" s="16"/>
      <c r="D138" s="31" t="s">
        <v>406</v>
      </c>
      <c r="E138" s="32" t="s">
        <v>388</v>
      </c>
      <c r="F138" s="13" t="b">
        <v>0</v>
      </c>
      <c r="G138" s="13" t="b">
        <v>0</v>
      </c>
      <c r="H138" s="13" t="b">
        <v>0</v>
      </c>
      <c r="I138" s="13" t="b">
        <v>0</v>
      </c>
      <c r="J138" s="13" t="b">
        <v>0</v>
      </c>
      <c r="K138" s="105"/>
      <c r="L138" s="105">
        <f>(BOHL01[[#This Row],[Column8]]-M138)</f>
        <v>0</v>
      </c>
      <c r="M138" s="105"/>
    </row>
    <row r="139" spans="2:13">
      <c r="B139" s="125">
        <v>46051</v>
      </c>
      <c r="C139" s="16" t="s">
        <v>69</v>
      </c>
      <c r="D139" s="31" t="s">
        <v>407</v>
      </c>
      <c r="E139" s="32" t="s">
        <v>408</v>
      </c>
      <c r="F139" s="13" t="b">
        <v>1</v>
      </c>
      <c r="G139" s="13" t="b">
        <v>1</v>
      </c>
      <c r="H139" s="13" t="b">
        <v>0</v>
      </c>
      <c r="I139" s="13" t="b">
        <v>0</v>
      </c>
      <c r="J139" s="13" t="b">
        <v>0</v>
      </c>
      <c r="K139" s="76">
        <v>27</v>
      </c>
      <c r="L139" s="105">
        <f>(BOHL01[[#This Row],[Column8]]-M139)</f>
        <v>6</v>
      </c>
      <c r="M139" s="76">
        <v>21</v>
      </c>
    </row>
    <row r="140" spans="2:13" ht="36">
      <c r="B140" s="125">
        <v>46076</v>
      </c>
      <c r="C140" s="16" t="s">
        <v>66</v>
      </c>
      <c r="D140" s="31" t="s">
        <v>409</v>
      </c>
      <c r="E140" s="32" t="s">
        <v>410</v>
      </c>
      <c r="F140" s="13" t="b">
        <v>1</v>
      </c>
      <c r="G140" s="13" t="b">
        <v>1</v>
      </c>
      <c r="H140" s="13" t="b">
        <v>0</v>
      </c>
      <c r="I140" s="13" t="b">
        <v>0</v>
      </c>
      <c r="J140" s="13" t="b">
        <v>0</v>
      </c>
      <c r="K140" s="105">
        <v>28</v>
      </c>
      <c r="L140" s="105">
        <f>(BOHL01[[#This Row],[Column8]]-M140)</f>
        <v>3</v>
      </c>
      <c r="M140" s="105">
        <v>25</v>
      </c>
    </row>
    <row r="141" spans="2:13">
      <c r="B141" s="125">
        <v>46076</v>
      </c>
      <c r="C141" s="16" t="s">
        <v>66</v>
      </c>
      <c r="D141" s="31" t="s">
        <v>411</v>
      </c>
      <c r="E141" s="32" t="s">
        <v>412</v>
      </c>
      <c r="F141" s="13" t="b">
        <v>1</v>
      </c>
      <c r="G141" s="13" t="b">
        <v>1</v>
      </c>
      <c r="H141" s="13" t="b">
        <v>0</v>
      </c>
      <c r="I141" s="13" t="b">
        <v>0</v>
      </c>
      <c r="J141" s="13" t="b">
        <v>0</v>
      </c>
      <c r="K141" s="76">
        <v>11</v>
      </c>
      <c r="L141" s="105">
        <f>(BOHL01[[#This Row],[Column8]]-M141)</f>
        <v>2</v>
      </c>
      <c r="M141" s="76">
        <v>9</v>
      </c>
    </row>
    <row r="142" spans="2:13" ht="24">
      <c r="B142" s="125">
        <v>46076</v>
      </c>
      <c r="C142" s="16" t="s">
        <v>85</v>
      </c>
      <c r="D142" s="31" t="s">
        <v>413</v>
      </c>
      <c r="E142" s="32" t="s">
        <v>414</v>
      </c>
      <c r="F142" s="13" t="b">
        <v>1</v>
      </c>
      <c r="G142" s="13" t="b">
        <v>1</v>
      </c>
      <c r="H142" s="13" t="b">
        <v>0</v>
      </c>
      <c r="I142" s="13" t="b">
        <v>0</v>
      </c>
      <c r="J142" s="13" t="b">
        <v>0</v>
      </c>
      <c r="K142" s="105">
        <v>22</v>
      </c>
      <c r="L142" s="105">
        <f>(BOHL01[[#This Row],[Column8]]-M142)</f>
        <v>2</v>
      </c>
      <c r="M142" s="105">
        <v>20</v>
      </c>
    </row>
    <row r="143" spans="2:13">
      <c r="B143" s="125">
        <v>46076</v>
      </c>
      <c r="C143" s="16" t="s">
        <v>85</v>
      </c>
      <c r="D143" s="31" t="s">
        <v>415</v>
      </c>
      <c r="E143" s="32" t="s">
        <v>416</v>
      </c>
      <c r="F143" s="13" t="b">
        <v>1</v>
      </c>
      <c r="G143" s="13" t="b">
        <v>1</v>
      </c>
      <c r="H143" s="13" t="b">
        <v>0</v>
      </c>
      <c r="I143" s="13" t="b">
        <v>0</v>
      </c>
      <c r="J143" s="13" t="b">
        <v>0</v>
      </c>
      <c r="K143" s="76">
        <v>40</v>
      </c>
      <c r="L143" s="105">
        <f>(BOHL01[[#This Row],[Column8]]-M143)</f>
        <v>7</v>
      </c>
      <c r="M143" s="76">
        <v>33</v>
      </c>
    </row>
    <row r="144" spans="2:13">
      <c r="B144" s="125">
        <v>46076</v>
      </c>
      <c r="C144" s="16" t="s">
        <v>85</v>
      </c>
      <c r="D144" s="31" t="s">
        <v>417</v>
      </c>
      <c r="E144" s="32" t="s">
        <v>418</v>
      </c>
      <c r="F144" s="13" t="b">
        <v>1</v>
      </c>
      <c r="G144" s="13" t="b">
        <v>1</v>
      </c>
      <c r="H144" s="13" t="b">
        <v>0</v>
      </c>
      <c r="I144" s="13" t="b">
        <v>0</v>
      </c>
      <c r="J144" s="13" t="b">
        <v>0</v>
      </c>
      <c r="K144" s="105">
        <v>22</v>
      </c>
      <c r="L144" s="105">
        <f>(BOHL01[[#This Row],[Column8]]-M144)</f>
        <v>3</v>
      </c>
      <c r="M144" s="105">
        <v>19</v>
      </c>
    </row>
    <row r="145" spans="2:13">
      <c r="B145" s="125">
        <v>46076</v>
      </c>
      <c r="C145" s="16" t="s">
        <v>85</v>
      </c>
      <c r="D145" s="16" t="s">
        <v>419</v>
      </c>
      <c r="E145" s="107" t="s">
        <v>272</v>
      </c>
      <c r="F145" s="13" t="b">
        <v>1</v>
      </c>
      <c r="G145" s="13" t="b">
        <v>1</v>
      </c>
      <c r="H145" s="13" t="b">
        <v>0</v>
      </c>
      <c r="I145" s="13" t="b">
        <v>0</v>
      </c>
      <c r="J145" s="13" t="b">
        <v>0</v>
      </c>
      <c r="K145" s="76">
        <v>10</v>
      </c>
      <c r="L145" s="105">
        <f>(BOHL01[[#This Row],[Column8]]-M145)</f>
        <v>3</v>
      </c>
      <c r="M145" s="76">
        <v>7</v>
      </c>
    </row>
    <row r="146" spans="2:13">
      <c r="B146" s="125">
        <v>46076</v>
      </c>
      <c r="C146" s="16" t="s">
        <v>78</v>
      </c>
      <c r="D146" s="31" t="s">
        <v>420</v>
      </c>
      <c r="E146" s="32" t="s">
        <v>421</v>
      </c>
      <c r="F146" s="13" t="b">
        <v>1</v>
      </c>
      <c r="G146" s="13" t="b">
        <v>1</v>
      </c>
      <c r="H146" s="13" t="b">
        <v>0</v>
      </c>
      <c r="I146" s="13" t="b">
        <v>0</v>
      </c>
      <c r="J146" s="13" t="b">
        <v>0</v>
      </c>
      <c r="K146" s="105">
        <v>23</v>
      </c>
      <c r="L146" s="105">
        <f>(BOHL01[[#This Row],[Column8]]-M146)</f>
        <v>4</v>
      </c>
      <c r="M146" s="105">
        <v>19</v>
      </c>
    </row>
    <row r="147" spans="2:13" ht="36">
      <c r="B147" s="125">
        <v>46076</v>
      </c>
      <c r="C147" s="16" t="s">
        <v>56</v>
      </c>
      <c r="D147" s="31" t="s">
        <v>422</v>
      </c>
      <c r="E147" s="32" t="s">
        <v>423</v>
      </c>
      <c r="F147" s="13" t="b">
        <v>1</v>
      </c>
      <c r="G147" s="13" t="b">
        <v>1</v>
      </c>
      <c r="H147" s="13" t="b">
        <v>0</v>
      </c>
      <c r="I147" s="13" t="b">
        <v>0</v>
      </c>
      <c r="J147" s="13" t="b">
        <v>0</v>
      </c>
      <c r="K147" s="76">
        <v>21</v>
      </c>
      <c r="L147" s="105">
        <f>(BOHL01[[#This Row],[Column8]]-M147)</f>
        <v>1</v>
      </c>
      <c r="M147" s="76">
        <v>20</v>
      </c>
    </row>
    <row r="148" spans="2:13">
      <c r="B148" s="125"/>
      <c r="C148" s="16"/>
      <c r="D148" s="31" t="s">
        <v>424</v>
      </c>
      <c r="E148" s="32" t="s">
        <v>425</v>
      </c>
      <c r="F148" s="13" t="b">
        <v>0</v>
      </c>
      <c r="G148" s="13" t="b">
        <v>0</v>
      </c>
      <c r="H148" s="13" t="b">
        <v>0</v>
      </c>
      <c r="I148" s="13" t="b">
        <v>0</v>
      </c>
      <c r="J148" s="13" t="b">
        <v>0</v>
      </c>
      <c r="K148" s="105"/>
      <c r="L148" s="105">
        <f>(BOHL01[[#This Row],[Column8]]-M148)</f>
        <v>0</v>
      </c>
      <c r="M148" s="105"/>
    </row>
    <row r="149" spans="2:13">
      <c r="B149" s="125">
        <v>46076</v>
      </c>
      <c r="C149" s="16" t="s">
        <v>267</v>
      </c>
      <c r="D149" s="31" t="s">
        <v>426</v>
      </c>
      <c r="E149" s="32" t="s">
        <v>272</v>
      </c>
      <c r="F149" s="13" t="b">
        <v>1</v>
      </c>
      <c r="G149" s="13" t="b">
        <v>1</v>
      </c>
      <c r="H149" s="13" t="b">
        <v>0</v>
      </c>
      <c r="I149" s="13" t="b">
        <v>0</v>
      </c>
      <c r="J149" s="13" t="b">
        <v>0</v>
      </c>
      <c r="K149" s="76">
        <v>35</v>
      </c>
      <c r="L149" s="105">
        <f>(BOHL01[[#This Row],[Column8]]-M149)</f>
        <v>6</v>
      </c>
      <c r="M149" s="76">
        <v>29</v>
      </c>
    </row>
    <row r="150" spans="2:13">
      <c r="B150" s="125">
        <v>46076</v>
      </c>
      <c r="C150" s="16" t="s">
        <v>81</v>
      </c>
      <c r="D150" s="206" t="s">
        <v>427</v>
      </c>
      <c r="E150" s="32" t="s">
        <v>428</v>
      </c>
      <c r="F150" s="13" t="b">
        <v>1</v>
      </c>
      <c r="G150" s="13" t="b">
        <v>1</v>
      </c>
      <c r="H150" s="13" t="b">
        <v>0</v>
      </c>
      <c r="I150" s="13" t="b">
        <v>0</v>
      </c>
      <c r="J150" s="13" t="b">
        <v>0</v>
      </c>
      <c r="K150" s="105">
        <v>11</v>
      </c>
      <c r="L150" s="105">
        <f>(BOHL01[[#This Row],[Column8]]-M150)</f>
        <v>6</v>
      </c>
      <c r="M150" s="105">
        <v>5</v>
      </c>
    </row>
    <row r="151" spans="2:13" ht="24">
      <c r="B151" s="125">
        <v>46076</v>
      </c>
      <c r="C151" s="16" t="s">
        <v>267</v>
      </c>
      <c r="D151" s="31" t="s">
        <v>429</v>
      </c>
      <c r="E151" s="32" t="s">
        <v>430</v>
      </c>
      <c r="F151" s="13" t="b">
        <v>1</v>
      </c>
      <c r="G151" s="13" t="b">
        <v>1</v>
      </c>
      <c r="H151" s="13" t="b">
        <v>0</v>
      </c>
      <c r="I151" s="13" t="b">
        <v>0</v>
      </c>
      <c r="J151" s="13" t="b">
        <v>0</v>
      </c>
      <c r="K151" s="76">
        <v>15</v>
      </c>
      <c r="L151" s="105">
        <f>(BOHL01[[#This Row],[Column8]]-M151)</f>
        <v>0</v>
      </c>
      <c r="M151" s="76">
        <v>15</v>
      </c>
    </row>
    <row r="152" spans="2:13">
      <c r="B152" s="125">
        <v>46076</v>
      </c>
      <c r="C152" s="16" t="s">
        <v>267</v>
      </c>
      <c r="D152" s="31" t="s">
        <v>431</v>
      </c>
      <c r="E152" s="32" t="s">
        <v>432</v>
      </c>
      <c r="F152" s="13" t="b">
        <v>1</v>
      </c>
      <c r="G152" s="13" t="b">
        <v>1</v>
      </c>
      <c r="H152" s="13" t="b">
        <v>0</v>
      </c>
      <c r="I152" s="13" t="b">
        <v>0</v>
      </c>
      <c r="J152" s="13" t="b">
        <v>0</v>
      </c>
      <c r="K152" s="105">
        <v>15</v>
      </c>
      <c r="L152" s="105">
        <f>(BOHL01[[#This Row],[Column8]]-M152)</f>
        <v>0</v>
      </c>
      <c r="M152" s="105">
        <v>15</v>
      </c>
    </row>
    <row r="153" spans="2:13">
      <c r="B153" s="125">
        <v>46054</v>
      </c>
      <c r="C153" s="16" t="s">
        <v>66</v>
      </c>
      <c r="D153" s="31" t="s">
        <v>433</v>
      </c>
      <c r="E153" s="32" t="s">
        <v>434</v>
      </c>
      <c r="F153" s="13" t="b">
        <v>1</v>
      </c>
      <c r="G153" s="13" t="b">
        <v>1</v>
      </c>
      <c r="H153" s="13" t="b">
        <v>0</v>
      </c>
      <c r="I153" s="13" t="b">
        <v>0</v>
      </c>
      <c r="J153" s="13" t="b">
        <v>0</v>
      </c>
      <c r="K153" s="76">
        <v>25</v>
      </c>
      <c r="L153" s="105">
        <f>(BOHL01[[#This Row],[Column8]]-M153)</f>
        <v>7</v>
      </c>
      <c r="M153" s="76">
        <v>18</v>
      </c>
    </row>
    <row r="154" spans="2:13">
      <c r="B154" s="125"/>
      <c r="C154" s="16"/>
      <c r="D154" s="206" t="s">
        <v>435</v>
      </c>
      <c r="E154" s="32" t="s">
        <v>436</v>
      </c>
      <c r="F154" s="13" t="b">
        <v>0</v>
      </c>
      <c r="G154" s="13" t="b">
        <v>0</v>
      </c>
      <c r="H154" s="13" t="b">
        <v>0</v>
      </c>
      <c r="I154" s="13" t="b">
        <v>0</v>
      </c>
      <c r="J154" s="13" t="b">
        <v>0</v>
      </c>
      <c r="K154" s="105"/>
      <c r="L154" s="105">
        <f>(BOHL01[[#This Row],[Column8]]-M154)</f>
        <v>0</v>
      </c>
      <c r="M154" s="105"/>
    </row>
    <row r="155" spans="2:13" ht="24">
      <c r="B155" s="125">
        <v>46076</v>
      </c>
      <c r="C155" s="16" t="s">
        <v>63</v>
      </c>
      <c r="D155" s="31" t="s">
        <v>437</v>
      </c>
      <c r="E155" s="32" t="s">
        <v>414</v>
      </c>
      <c r="F155" s="13" t="b">
        <v>1</v>
      </c>
      <c r="G155" s="13" t="b">
        <v>1</v>
      </c>
      <c r="H155" s="13" t="b">
        <v>0</v>
      </c>
      <c r="I155" s="13" t="b">
        <v>0</v>
      </c>
      <c r="J155" s="13" t="b">
        <v>0</v>
      </c>
      <c r="K155" s="76">
        <v>40</v>
      </c>
      <c r="L155" s="105">
        <f>(BOHL01[[#This Row],[Column8]]-M155)</f>
        <v>3</v>
      </c>
      <c r="M155" s="76">
        <v>37</v>
      </c>
    </row>
    <row r="156" spans="2:13">
      <c r="B156" s="125">
        <v>46077</v>
      </c>
      <c r="C156" s="16" t="s">
        <v>62</v>
      </c>
      <c r="D156" s="31" t="s">
        <v>438</v>
      </c>
      <c r="E156" s="32" t="s">
        <v>439</v>
      </c>
      <c r="F156" s="13" t="b">
        <v>1</v>
      </c>
      <c r="G156" s="13" t="b">
        <v>1</v>
      </c>
      <c r="H156" s="13" t="b">
        <v>0</v>
      </c>
      <c r="I156" s="13" t="b">
        <v>0</v>
      </c>
      <c r="J156" s="13" t="b">
        <v>0</v>
      </c>
      <c r="K156" s="105">
        <v>51</v>
      </c>
      <c r="L156" s="105">
        <f>(BOHL01[[#This Row],[Column8]]-M156)</f>
        <v>16</v>
      </c>
      <c r="M156" s="105">
        <v>35</v>
      </c>
    </row>
    <row r="157" spans="2:13">
      <c r="B157" s="125">
        <v>46077</v>
      </c>
      <c r="C157" s="16" t="s">
        <v>62</v>
      </c>
      <c r="D157" s="31" t="s">
        <v>440</v>
      </c>
      <c r="E157" s="32" t="s">
        <v>441</v>
      </c>
      <c r="F157" s="13" t="b">
        <v>1</v>
      </c>
      <c r="G157" s="13" t="b">
        <v>1</v>
      </c>
      <c r="H157" s="13" t="b">
        <v>0</v>
      </c>
      <c r="I157" s="13" t="b">
        <v>0</v>
      </c>
      <c r="J157" s="13" t="b">
        <v>0</v>
      </c>
      <c r="K157" s="76">
        <v>14</v>
      </c>
      <c r="L157" s="105">
        <f>(BOHL01[[#This Row],[Column8]]-M157)</f>
        <v>6</v>
      </c>
      <c r="M157" s="76">
        <v>8</v>
      </c>
    </row>
    <row r="158" spans="2:13">
      <c r="B158" s="125">
        <v>46076</v>
      </c>
      <c r="C158" s="16" t="s">
        <v>63</v>
      </c>
      <c r="D158" s="31" t="s">
        <v>442</v>
      </c>
      <c r="E158" s="32" t="s">
        <v>443</v>
      </c>
      <c r="F158" s="13" t="b">
        <v>1</v>
      </c>
      <c r="G158" s="13" t="b">
        <v>1</v>
      </c>
      <c r="H158" s="13" t="b">
        <v>0</v>
      </c>
      <c r="I158" s="13" t="b">
        <v>0</v>
      </c>
      <c r="J158" s="13" t="b">
        <v>0</v>
      </c>
      <c r="K158" s="105">
        <v>10</v>
      </c>
      <c r="L158" s="105">
        <f>(BOHL01[[#This Row],[Column8]]-M158)</f>
        <v>2</v>
      </c>
      <c r="M158" s="105">
        <v>8</v>
      </c>
    </row>
    <row r="159" spans="2:13">
      <c r="B159" s="125">
        <v>46076</v>
      </c>
      <c r="C159" s="16" t="s">
        <v>63</v>
      </c>
      <c r="D159" s="31" t="s">
        <v>444</v>
      </c>
      <c r="E159" s="32" t="s">
        <v>445</v>
      </c>
      <c r="F159" s="13" t="b">
        <v>1</v>
      </c>
      <c r="G159" s="13" t="b">
        <v>1</v>
      </c>
      <c r="H159" s="13" t="b">
        <v>0</v>
      </c>
      <c r="I159" s="13" t="b">
        <v>0</v>
      </c>
      <c r="J159" s="13" t="b">
        <v>0</v>
      </c>
      <c r="K159" s="76">
        <v>8</v>
      </c>
      <c r="L159" s="105">
        <f>(BOHL01[[#This Row],[Column8]]-M159)</f>
        <v>3</v>
      </c>
      <c r="M159" s="76">
        <v>5</v>
      </c>
    </row>
    <row r="160" spans="2:13">
      <c r="B160" s="125"/>
      <c r="C160" s="16"/>
      <c r="D160" s="31" t="s">
        <v>446</v>
      </c>
      <c r="E160" s="32" t="s">
        <v>447</v>
      </c>
      <c r="F160" s="13" t="b">
        <v>0</v>
      </c>
      <c r="G160" s="13" t="b">
        <v>0</v>
      </c>
      <c r="H160" s="13" t="b">
        <v>0</v>
      </c>
      <c r="I160" s="13" t="b">
        <v>0</v>
      </c>
      <c r="J160" s="13" t="b">
        <v>0</v>
      </c>
      <c r="K160" s="105"/>
      <c r="L160" s="105">
        <f>(BOHL01[[#This Row],[Column8]]-M160)</f>
        <v>0</v>
      </c>
      <c r="M160" s="105"/>
    </row>
    <row r="161" spans="2:13">
      <c r="B161" s="125">
        <v>46076</v>
      </c>
      <c r="C161" s="16" t="s">
        <v>53</v>
      </c>
      <c r="D161" s="31" t="s">
        <v>448</v>
      </c>
      <c r="E161" s="32" t="s">
        <v>272</v>
      </c>
      <c r="F161" s="13" t="b">
        <v>1</v>
      </c>
      <c r="G161" s="13" t="b">
        <v>1</v>
      </c>
      <c r="H161" s="13" t="b">
        <v>0</v>
      </c>
      <c r="I161" s="13" t="b">
        <v>0</v>
      </c>
      <c r="J161" s="13" t="b">
        <v>0</v>
      </c>
      <c r="K161" s="76">
        <v>18</v>
      </c>
      <c r="L161" s="105">
        <f>(BOHL01[[#This Row],[Column8]]-M161)</f>
        <v>2</v>
      </c>
      <c r="M161" s="76">
        <v>16</v>
      </c>
    </row>
    <row r="162" spans="2:13">
      <c r="B162" s="125">
        <v>46076</v>
      </c>
      <c r="C162" s="16" t="s">
        <v>53</v>
      </c>
      <c r="D162" s="31" t="s">
        <v>449</v>
      </c>
      <c r="E162" s="32" t="s">
        <v>425</v>
      </c>
      <c r="F162" s="13" t="b">
        <v>1</v>
      </c>
      <c r="G162" s="13" t="b">
        <v>1</v>
      </c>
      <c r="H162" s="13" t="b">
        <v>0</v>
      </c>
      <c r="I162" s="13" t="b">
        <v>0</v>
      </c>
      <c r="J162" s="13" t="b">
        <v>0</v>
      </c>
      <c r="K162" s="105">
        <v>18</v>
      </c>
      <c r="L162" s="105">
        <f>(BOHL01[[#This Row],[Column8]]-M162)</f>
        <v>4</v>
      </c>
      <c r="M162" s="105">
        <v>14</v>
      </c>
    </row>
    <row r="163" spans="2:13">
      <c r="B163" s="125">
        <v>46076</v>
      </c>
      <c r="C163" s="16" t="s">
        <v>53</v>
      </c>
      <c r="D163" s="31" t="s">
        <v>450</v>
      </c>
      <c r="E163" s="32" t="s">
        <v>451</v>
      </c>
      <c r="F163" s="13" t="b">
        <v>1</v>
      </c>
      <c r="G163" s="13" t="b">
        <v>1</v>
      </c>
      <c r="H163" s="13" t="b">
        <v>0</v>
      </c>
      <c r="I163" s="13" t="b">
        <v>0</v>
      </c>
      <c r="J163" s="13" t="b">
        <v>0</v>
      </c>
      <c r="K163" s="76">
        <v>10</v>
      </c>
      <c r="L163" s="105">
        <f>(BOHL01[[#This Row],[Column8]]-M163)</f>
        <v>0</v>
      </c>
      <c r="M163" s="76">
        <v>10</v>
      </c>
    </row>
    <row r="164" spans="2:13">
      <c r="B164" s="125">
        <v>46076</v>
      </c>
      <c r="C164" s="16" t="s">
        <v>53</v>
      </c>
      <c r="D164" s="31" t="s">
        <v>452</v>
      </c>
      <c r="E164" s="32" t="s">
        <v>453</v>
      </c>
      <c r="F164" s="13" t="b">
        <v>1</v>
      </c>
      <c r="G164" s="13" t="b">
        <v>1</v>
      </c>
      <c r="H164" s="13" t="b">
        <v>0</v>
      </c>
      <c r="I164" s="13" t="b">
        <v>0</v>
      </c>
      <c r="J164" s="13" t="b">
        <v>0</v>
      </c>
      <c r="K164" s="105">
        <v>12</v>
      </c>
      <c r="L164" s="105">
        <f>(BOHL01[[#This Row],[Column8]]-M164)</f>
        <v>0</v>
      </c>
      <c r="M164" s="105">
        <v>12</v>
      </c>
    </row>
    <row r="165" spans="2:13">
      <c r="B165" s="125">
        <v>46162</v>
      </c>
      <c r="C165" s="16" t="s">
        <v>81</v>
      </c>
      <c r="D165" s="31" t="s">
        <v>454</v>
      </c>
      <c r="E165" s="32" t="s">
        <v>455</v>
      </c>
      <c r="F165" s="13" t="b">
        <v>1</v>
      </c>
      <c r="G165" s="13" t="b">
        <v>1</v>
      </c>
      <c r="H165" s="13" t="b">
        <v>0</v>
      </c>
      <c r="I165" s="13" t="b">
        <v>0</v>
      </c>
      <c r="J165" s="13" t="b">
        <v>0</v>
      </c>
      <c r="K165" s="76">
        <v>14</v>
      </c>
      <c r="L165" s="105">
        <f>(BOHL01[[#This Row],[Column8]]-M165)</f>
        <v>7</v>
      </c>
      <c r="M165" s="76">
        <v>7</v>
      </c>
    </row>
    <row r="166" spans="2:13" ht="24">
      <c r="B166" s="125">
        <v>46052</v>
      </c>
      <c r="C166" s="16" t="s">
        <v>69</v>
      </c>
      <c r="D166" s="31" t="s">
        <v>456</v>
      </c>
      <c r="E166" s="32" t="s">
        <v>457</v>
      </c>
      <c r="F166" s="13" t="b">
        <v>1</v>
      </c>
      <c r="G166" s="13" t="b">
        <v>1</v>
      </c>
      <c r="H166" s="13" t="b">
        <v>0</v>
      </c>
      <c r="I166" s="13" t="b">
        <v>0</v>
      </c>
      <c r="J166" s="13" t="b">
        <v>0</v>
      </c>
      <c r="K166" s="105">
        <v>15</v>
      </c>
      <c r="L166" s="105">
        <f>(BOHL01[[#This Row],[Column8]]-M166)</f>
        <v>4</v>
      </c>
      <c r="M166" s="105">
        <v>11</v>
      </c>
    </row>
    <row r="167" spans="2:13">
      <c r="B167" s="125">
        <v>46134</v>
      </c>
      <c r="C167" s="16" t="s">
        <v>56</v>
      </c>
      <c r="D167" s="31" t="s">
        <v>458</v>
      </c>
      <c r="E167" s="32" t="s">
        <v>459</v>
      </c>
      <c r="F167" s="13" t="b">
        <v>1</v>
      </c>
      <c r="G167" s="13" t="b">
        <v>1</v>
      </c>
      <c r="H167" s="13" t="b">
        <v>0</v>
      </c>
      <c r="I167" s="13" t="b">
        <v>0</v>
      </c>
      <c r="J167" s="13" t="b">
        <v>0</v>
      </c>
      <c r="K167" s="76">
        <v>15</v>
      </c>
      <c r="L167" s="105">
        <f>(BOHL01[[#This Row],[Column8]]-M167)</f>
        <v>4</v>
      </c>
      <c r="M167" s="76">
        <v>11</v>
      </c>
    </row>
    <row r="168" spans="2:13">
      <c r="B168" s="125">
        <v>46052</v>
      </c>
      <c r="C168" s="16" t="s">
        <v>69</v>
      </c>
      <c r="D168" s="31" t="s">
        <v>460</v>
      </c>
      <c r="E168" s="32" t="s">
        <v>248</v>
      </c>
      <c r="F168" s="13" t="b">
        <v>1</v>
      </c>
      <c r="G168" s="13" t="b">
        <v>1</v>
      </c>
      <c r="H168" s="13" t="b">
        <v>0</v>
      </c>
      <c r="I168" s="13" t="b">
        <v>0</v>
      </c>
      <c r="J168" s="13" t="b">
        <v>0</v>
      </c>
      <c r="K168" s="105">
        <v>12</v>
      </c>
      <c r="L168" s="105">
        <f>(BOHL01[[#This Row],[Column8]]-M168)</f>
        <v>1</v>
      </c>
      <c r="M168" s="105">
        <v>11</v>
      </c>
    </row>
    <row r="169" spans="2:13" ht="24">
      <c r="B169" s="125"/>
      <c r="C169" s="16"/>
      <c r="D169" s="31" t="s">
        <v>461</v>
      </c>
      <c r="E169" s="32" t="s">
        <v>462</v>
      </c>
      <c r="F169" s="13" t="b">
        <v>0</v>
      </c>
      <c r="G169" s="13" t="b">
        <v>0</v>
      </c>
      <c r="H169" s="13" t="b">
        <v>0</v>
      </c>
      <c r="I169" s="13" t="b">
        <v>0</v>
      </c>
      <c r="J169" s="13" t="b">
        <v>0</v>
      </c>
      <c r="K169" s="76"/>
      <c r="L169" s="105">
        <f>(BOHL01[[#This Row],[Column8]]-M169)</f>
        <v>0</v>
      </c>
      <c r="M169" s="76"/>
    </row>
    <row r="170" spans="2:13" ht="24">
      <c r="B170" s="125"/>
      <c r="C170" s="16"/>
      <c r="D170" s="31" t="s">
        <v>463</v>
      </c>
      <c r="E170" s="32" t="s">
        <v>464</v>
      </c>
      <c r="F170" s="13" t="b">
        <v>0</v>
      </c>
      <c r="G170" s="13" t="b">
        <v>0</v>
      </c>
      <c r="H170" s="13" t="b">
        <v>0</v>
      </c>
      <c r="I170" s="13" t="b">
        <v>0</v>
      </c>
      <c r="J170" s="13" t="b">
        <v>0</v>
      </c>
      <c r="K170" s="105"/>
      <c r="L170" s="105">
        <f>(BOHL01[[#This Row],[Column8]]-M170)</f>
        <v>0</v>
      </c>
      <c r="M170" s="105"/>
    </row>
    <row r="171" spans="2:13">
      <c r="B171" s="125"/>
      <c r="C171" s="16"/>
      <c r="D171" s="31" t="s">
        <v>465</v>
      </c>
      <c r="E171" s="32" t="s">
        <v>466</v>
      </c>
      <c r="F171" s="13" t="b">
        <v>0</v>
      </c>
      <c r="G171" s="13" t="b">
        <v>0</v>
      </c>
      <c r="H171" s="13" t="b">
        <v>0</v>
      </c>
      <c r="I171" s="13" t="b">
        <v>0</v>
      </c>
      <c r="J171" s="13" t="b">
        <v>0</v>
      </c>
      <c r="K171" s="76"/>
      <c r="L171" s="105">
        <f>(BOHL01[[#This Row],[Column8]]-M171)</f>
        <v>0</v>
      </c>
      <c r="M171" s="76"/>
    </row>
    <row r="172" spans="2:13">
      <c r="B172" s="125"/>
      <c r="C172" s="16"/>
      <c r="D172" s="31" t="s">
        <v>467</v>
      </c>
      <c r="E172" s="32" t="s">
        <v>468</v>
      </c>
      <c r="F172" s="13" t="b">
        <v>0</v>
      </c>
      <c r="G172" s="13" t="b">
        <v>0</v>
      </c>
      <c r="H172" s="13" t="b">
        <v>0</v>
      </c>
      <c r="I172" s="13" t="b">
        <v>0</v>
      </c>
      <c r="J172" s="13" t="b">
        <v>0</v>
      </c>
      <c r="K172" s="105"/>
      <c r="L172" s="105">
        <f>(BOHL01[[#This Row],[Column8]]-M172)</f>
        <v>0</v>
      </c>
      <c r="M172" s="105"/>
    </row>
    <row r="173" spans="2:13">
      <c r="B173" s="125"/>
      <c r="C173" s="16"/>
      <c r="D173" s="31" t="s">
        <v>469</v>
      </c>
      <c r="E173" s="32" t="s">
        <v>470</v>
      </c>
      <c r="F173" s="13" t="b">
        <v>0</v>
      </c>
      <c r="G173" s="13" t="b">
        <v>0</v>
      </c>
      <c r="H173" s="13" t="b">
        <v>0</v>
      </c>
      <c r="I173" s="13" t="b">
        <v>0</v>
      </c>
      <c r="J173" s="13" t="b">
        <v>0</v>
      </c>
      <c r="K173" s="76"/>
      <c r="L173" s="105">
        <f>(BOHL01[[#This Row],[Column8]]-M173)</f>
        <v>0</v>
      </c>
      <c r="M173" s="76"/>
    </row>
    <row r="174" spans="2:13" ht="40.5">
      <c r="B174" s="125">
        <v>46043</v>
      </c>
      <c r="C174" s="16" t="s">
        <v>69</v>
      </c>
      <c r="D174" s="30" t="s">
        <v>471</v>
      </c>
      <c r="E174" s="29" t="s">
        <v>472</v>
      </c>
      <c r="F174" s="13" t="b">
        <v>1</v>
      </c>
      <c r="G174" s="13" t="b">
        <v>1</v>
      </c>
      <c r="H174" s="13" t="b">
        <v>0</v>
      </c>
      <c r="I174" s="13" t="b">
        <v>0</v>
      </c>
      <c r="J174" s="13" t="b">
        <v>0</v>
      </c>
      <c r="K174" s="105">
        <v>15</v>
      </c>
      <c r="L174" s="105">
        <f>(BOHL01[[#This Row],[Column8]]-M174)</f>
        <v>11</v>
      </c>
      <c r="M174" s="105">
        <v>4</v>
      </c>
    </row>
    <row r="175" spans="2:13" ht="24">
      <c r="B175" s="125">
        <v>46070</v>
      </c>
      <c r="C175" s="16" t="s">
        <v>66</v>
      </c>
      <c r="D175" s="30" t="s">
        <v>473</v>
      </c>
      <c r="E175" s="32" t="s">
        <v>972</v>
      </c>
      <c r="F175" s="13" t="b">
        <v>1</v>
      </c>
      <c r="G175" s="13" t="b">
        <v>1</v>
      </c>
      <c r="H175" s="13" t="b">
        <v>0</v>
      </c>
      <c r="I175" s="13" t="b">
        <v>0</v>
      </c>
      <c r="J175" s="13" t="b">
        <v>0</v>
      </c>
      <c r="K175" s="76">
        <v>18</v>
      </c>
      <c r="L175" s="105">
        <f>(BOHL01[[#This Row],[Column8]]-M175)</f>
        <v>3</v>
      </c>
      <c r="M175" s="76">
        <v>15</v>
      </c>
    </row>
    <row r="176" spans="2:13" ht="24">
      <c r="B176" s="125"/>
      <c r="C176" s="16"/>
      <c r="D176" s="206" t="s">
        <v>475</v>
      </c>
      <c r="E176" s="32" t="s">
        <v>476</v>
      </c>
      <c r="F176" s="13" t="b">
        <v>0</v>
      </c>
      <c r="G176" s="13" t="b">
        <v>0</v>
      </c>
      <c r="H176" s="13" t="b">
        <v>0</v>
      </c>
      <c r="I176" s="13" t="b">
        <v>0</v>
      </c>
      <c r="J176" s="13" t="b">
        <v>0</v>
      </c>
      <c r="K176" s="105"/>
      <c r="L176" s="105">
        <f>(BOHL01[[#This Row],[Column8]]-M176)</f>
        <v>0</v>
      </c>
      <c r="M176" s="105"/>
    </row>
    <row r="177" spans="2:13">
      <c r="B177" s="125"/>
      <c r="C177" s="16"/>
      <c r="D177" s="31" t="s">
        <v>477</v>
      </c>
      <c r="E177" s="35" t="s">
        <v>478</v>
      </c>
      <c r="F177" s="13" t="b">
        <v>0</v>
      </c>
      <c r="G177" s="13" t="b">
        <v>0</v>
      </c>
      <c r="H177" s="13" t="b">
        <v>0</v>
      </c>
      <c r="I177" s="13" t="b">
        <v>0</v>
      </c>
      <c r="J177" s="13" t="b">
        <v>0</v>
      </c>
      <c r="K177" s="76"/>
      <c r="L177" s="105">
        <f>(BOHL01[[#This Row],[Column8]]-M177)</f>
        <v>0</v>
      </c>
      <c r="M177" s="76"/>
    </row>
    <row r="178" spans="2:13" ht="24">
      <c r="B178" s="125">
        <v>46063</v>
      </c>
      <c r="C178" s="16" t="s">
        <v>91</v>
      </c>
      <c r="D178" s="31" t="s">
        <v>479</v>
      </c>
      <c r="E178" s="32" t="s">
        <v>480</v>
      </c>
      <c r="F178" s="13" t="b">
        <v>1</v>
      </c>
      <c r="G178" s="13" t="b">
        <v>1</v>
      </c>
      <c r="H178" s="13" t="b">
        <v>0</v>
      </c>
      <c r="I178" s="13" t="b">
        <v>0</v>
      </c>
      <c r="J178" s="13" t="b">
        <v>0</v>
      </c>
      <c r="K178" s="105">
        <v>32</v>
      </c>
      <c r="L178" s="105">
        <f>(BOHL01[[#This Row],[Column8]]-M178)</f>
        <v>8</v>
      </c>
      <c r="M178" s="105">
        <v>24</v>
      </c>
    </row>
    <row r="179" spans="2:13">
      <c r="B179" s="125"/>
      <c r="C179" s="16"/>
      <c r="D179" s="16" t="s">
        <v>481</v>
      </c>
      <c r="E179" s="32" t="s">
        <v>272</v>
      </c>
      <c r="F179" s="13" t="b">
        <v>1</v>
      </c>
      <c r="G179" s="13" t="b">
        <v>0</v>
      </c>
      <c r="H179" s="13" t="b">
        <v>0</v>
      </c>
      <c r="I179" s="13" t="b">
        <v>0</v>
      </c>
      <c r="J179" s="13" t="b">
        <v>0</v>
      </c>
      <c r="K179" s="76"/>
      <c r="L179" s="105">
        <f>(BOHL01[[#This Row],[Column8]]-M179)</f>
        <v>0</v>
      </c>
      <c r="M179" s="76"/>
    </row>
    <row r="180" spans="2:13" ht="24">
      <c r="B180" s="125">
        <v>46070</v>
      </c>
      <c r="C180" s="16" t="s">
        <v>53</v>
      </c>
      <c r="D180" s="31" t="s">
        <v>482</v>
      </c>
      <c r="E180" s="32" t="s">
        <v>483</v>
      </c>
      <c r="F180" s="13" t="b">
        <v>1</v>
      </c>
      <c r="G180" s="13" t="b">
        <v>1</v>
      </c>
      <c r="H180" s="13" t="b">
        <v>0</v>
      </c>
      <c r="I180" s="13" t="b">
        <v>0</v>
      </c>
      <c r="J180" s="13" t="b">
        <v>0</v>
      </c>
      <c r="K180" s="105">
        <v>18</v>
      </c>
      <c r="L180" s="105">
        <f>(BOHL01[[#This Row],[Column8]]-M180)</f>
        <v>2</v>
      </c>
      <c r="M180" s="105">
        <v>16</v>
      </c>
    </row>
    <row r="181" spans="2:13">
      <c r="B181" s="125"/>
      <c r="C181" s="16"/>
      <c r="D181" s="207" t="s">
        <v>484</v>
      </c>
      <c r="E181" s="35" t="s">
        <v>485</v>
      </c>
      <c r="F181" s="13" t="b">
        <v>0</v>
      </c>
      <c r="G181" s="13" t="b">
        <v>0</v>
      </c>
      <c r="H181" s="13" t="b">
        <v>0</v>
      </c>
      <c r="I181" s="13" t="b">
        <v>0</v>
      </c>
      <c r="J181" s="13" t="b">
        <v>0</v>
      </c>
      <c r="K181" s="76"/>
      <c r="L181" s="105">
        <f>(BOHL01[[#This Row],[Column8]]-M181)</f>
        <v>0</v>
      </c>
      <c r="M181" s="76"/>
    </row>
    <row r="182" spans="2:13">
      <c r="B182" s="125">
        <v>46070</v>
      </c>
      <c r="C182" s="16" t="s">
        <v>53</v>
      </c>
      <c r="D182" s="16" t="s">
        <v>486</v>
      </c>
      <c r="E182" s="32" t="s">
        <v>487</v>
      </c>
      <c r="F182" s="13" t="b">
        <v>1</v>
      </c>
      <c r="G182" s="13" t="b">
        <v>1</v>
      </c>
      <c r="H182" s="13" t="b">
        <v>0</v>
      </c>
      <c r="I182" s="13" t="b">
        <v>0</v>
      </c>
      <c r="J182" s="13" t="b">
        <v>0</v>
      </c>
      <c r="K182" s="105">
        <v>30</v>
      </c>
      <c r="L182" s="105">
        <f>(BOHL01[[#This Row],[Column8]]-M182)</f>
        <v>4</v>
      </c>
      <c r="M182" s="105">
        <v>26</v>
      </c>
    </row>
    <row r="183" spans="2:13">
      <c r="B183" s="125">
        <v>46112</v>
      </c>
      <c r="C183" s="16" t="s">
        <v>56</v>
      </c>
      <c r="D183" s="31" t="s">
        <v>488</v>
      </c>
      <c r="E183" s="32" t="s">
        <v>489</v>
      </c>
      <c r="F183" s="13" t="b">
        <v>1</v>
      </c>
      <c r="G183" s="13" t="b">
        <v>1</v>
      </c>
      <c r="H183" s="13" t="b">
        <v>0</v>
      </c>
      <c r="I183" s="13" t="b">
        <v>0</v>
      </c>
      <c r="J183" s="13" t="b">
        <v>0</v>
      </c>
      <c r="K183" s="76">
        <v>87</v>
      </c>
      <c r="L183" s="105">
        <f>(BOHL01[[#This Row],[Column8]]-M183)</f>
        <v>29</v>
      </c>
      <c r="M183" s="76">
        <v>58</v>
      </c>
    </row>
    <row r="184" spans="2:13" ht="24">
      <c r="B184" s="125">
        <v>46063</v>
      </c>
      <c r="C184" s="16" t="s">
        <v>66</v>
      </c>
      <c r="D184" s="31" t="s">
        <v>490</v>
      </c>
      <c r="E184" s="32" t="s">
        <v>491</v>
      </c>
      <c r="F184" s="13" t="b">
        <v>1</v>
      </c>
      <c r="G184" s="13" t="b">
        <v>1</v>
      </c>
      <c r="H184" s="13" t="b">
        <v>0</v>
      </c>
      <c r="I184" s="13" t="b">
        <v>0</v>
      </c>
      <c r="J184" s="13" t="b">
        <v>0</v>
      </c>
      <c r="K184" s="105">
        <v>25</v>
      </c>
      <c r="L184" s="105">
        <f>(BOHL01[[#This Row],[Column8]]-M184)</f>
        <v>8</v>
      </c>
      <c r="M184" s="105">
        <v>17</v>
      </c>
    </row>
    <row r="185" spans="2:13" ht="24">
      <c r="B185" s="125">
        <v>46063</v>
      </c>
      <c r="C185" s="16" t="s">
        <v>94</v>
      </c>
      <c r="D185" s="31" t="s">
        <v>492</v>
      </c>
      <c r="E185" s="32" t="s">
        <v>493</v>
      </c>
      <c r="F185" s="13" t="b">
        <v>1</v>
      </c>
      <c r="G185" s="13" t="b">
        <v>1</v>
      </c>
      <c r="H185" s="13" t="b">
        <v>0</v>
      </c>
      <c r="I185" s="13" t="b">
        <v>0</v>
      </c>
      <c r="J185" s="13" t="b">
        <v>0</v>
      </c>
      <c r="K185" s="76">
        <v>24</v>
      </c>
      <c r="L185" s="105">
        <f>(BOHL01[[#This Row],[Column8]]-M185)</f>
        <v>11</v>
      </c>
      <c r="M185" s="76">
        <v>13</v>
      </c>
    </row>
    <row r="186" spans="2:13" ht="24">
      <c r="B186" s="125">
        <v>46063</v>
      </c>
      <c r="C186" s="16" t="s">
        <v>94</v>
      </c>
      <c r="D186" s="31" t="s">
        <v>494</v>
      </c>
      <c r="E186" s="107" t="s">
        <v>495</v>
      </c>
      <c r="F186" s="13" t="b">
        <v>1</v>
      </c>
      <c r="G186" s="13" t="b">
        <v>1</v>
      </c>
      <c r="H186" s="13" t="b">
        <v>0</v>
      </c>
      <c r="I186" s="13" t="b">
        <v>0</v>
      </c>
      <c r="J186" s="13" t="b">
        <v>0</v>
      </c>
      <c r="K186" s="105">
        <v>10</v>
      </c>
      <c r="L186" s="105">
        <f>(BOHL01[[#This Row],[Column8]]-M186)</f>
        <v>3</v>
      </c>
      <c r="M186" s="105">
        <v>7</v>
      </c>
    </row>
    <row r="187" spans="2:13" ht="24">
      <c r="B187" s="125">
        <v>46112</v>
      </c>
      <c r="C187" s="16" t="s">
        <v>275</v>
      </c>
      <c r="D187" s="31" t="s">
        <v>496</v>
      </c>
      <c r="E187" s="32" t="s">
        <v>497</v>
      </c>
      <c r="F187" s="13" t="b">
        <v>1</v>
      </c>
      <c r="G187" s="13" t="b">
        <v>1</v>
      </c>
      <c r="H187" s="13" t="b">
        <v>0</v>
      </c>
      <c r="I187" s="13" t="b">
        <v>0</v>
      </c>
      <c r="J187" s="13" t="b">
        <v>0</v>
      </c>
      <c r="K187" s="76">
        <v>50</v>
      </c>
      <c r="L187" s="105">
        <f>(BOHL01[[#This Row],[Column8]]-M187)</f>
        <v>11</v>
      </c>
      <c r="M187" s="76">
        <v>39</v>
      </c>
    </row>
    <row r="188" spans="2:13" ht="24">
      <c r="B188" s="125">
        <v>46139</v>
      </c>
      <c r="C188" s="16" t="s">
        <v>51</v>
      </c>
      <c r="D188" s="206" t="s">
        <v>498</v>
      </c>
      <c r="E188" s="208" t="s">
        <v>499</v>
      </c>
      <c r="F188" s="13" t="b">
        <v>1</v>
      </c>
      <c r="G188" s="13" t="b">
        <v>1</v>
      </c>
      <c r="H188" s="13" t="b">
        <v>0</v>
      </c>
      <c r="I188" s="13" t="b">
        <v>0</v>
      </c>
      <c r="J188" s="13" t="b">
        <v>0</v>
      </c>
      <c r="K188" s="105">
        <v>1</v>
      </c>
      <c r="L188" s="105">
        <f>(BOHL01[[#This Row],[Column8]]-M188)</f>
        <v>0</v>
      </c>
      <c r="M188" s="105">
        <v>1</v>
      </c>
    </row>
    <row r="189" spans="2:13">
      <c r="B189" s="125">
        <v>46070</v>
      </c>
      <c r="C189" s="16" t="s">
        <v>56</v>
      </c>
      <c r="D189" s="31" t="s">
        <v>500</v>
      </c>
      <c r="E189" s="32" t="s">
        <v>501</v>
      </c>
      <c r="F189" s="13" t="b">
        <v>1</v>
      </c>
      <c r="G189" s="13" t="b">
        <v>1</v>
      </c>
      <c r="H189" s="13" t="b">
        <v>0</v>
      </c>
      <c r="I189" s="13" t="b">
        <v>0</v>
      </c>
      <c r="J189" s="13" t="b">
        <v>0</v>
      </c>
      <c r="K189" s="76">
        <v>17</v>
      </c>
      <c r="L189" s="105">
        <f>(BOHL01[[#This Row],[Column8]]-M189)</f>
        <v>6</v>
      </c>
      <c r="M189" s="76">
        <v>11</v>
      </c>
    </row>
    <row r="190" spans="2:13">
      <c r="B190" s="125">
        <v>46070</v>
      </c>
      <c r="C190" s="16" t="s">
        <v>91</v>
      </c>
      <c r="D190" s="31" t="s">
        <v>502</v>
      </c>
      <c r="E190" s="32" t="s">
        <v>503</v>
      </c>
      <c r="F190" s="13" t="b">
        <v>1</v>
      </c>
      <c r="G190" s="13" t="b">
        <v>1</v>
      </c>
      <c r="H190" s="13" t="b">
        <v>0</v>
      </c>
      <c r="I190" s="13" t="b">
        <v>0</v>
      </c>
      <c r="J190" s="13" t="b">
        <v>0</v>
      </c>
      <c r="K190" s="105">
        <v>19</v>
      </c>
      <c r="L190" s="105">
        <f>(BOHL01[[#This Row],[Column8]]-M190)</f>
        <v>3</v>
      </c>
      <c r="M190" s="105">
        <v>16</v>
      </c>
    </row>
    <row r="191" spans="2:13" ht="24">
      <c r="B191" s="125">
        <v>46070</v>
      </c>
      <c r="C191" s="16" t="s">
        <v>56</v>
      </c>
      <c r="D191" s="31" t="s">
        <v>504</v>
      </c>
      <c r="E191" s="32" t="s">
        <v>505</v>
      </c>
      <c r="F191" s="13" t="b">
        <v>1</v>
      </c>
      <c r="G191" s="13" t="b">
        <v>1</v>
      </c>
      <c r="H191" s="13" t="b">
        <v>0</v>
      </c>
      <c r="I191" s="13" t="b">
        <v>0</v>
      </c>
      <c r="J191" s="13" t="b">
        <v>0</v>
      </c>
      <c r="K191" s="76">
        <v>15</v>
      </c>
      <c r="L191" s="105">
        <f>(BOHL01[[#This Row],[Column8]]-M191)</f>
        <v>6</v>
      </c>
      <c r="M191" s="76">
        <v>9</v>
      </c>
    </row>
    <row r="192" spans="2:13" ht="24">
      <c r="B192" s="125">
        <v>46070</v>
      </c>
      <c r="C192" s="16" t="s">
        <v>56</v>
      </c>
      <c r="D192" s="31" t="s">
        <v>506</v>
      </c>
      <c r="E192" s="32" t="s">
        <v>507</v>
      </c>
      <c r="F192" s="13" t="b">
        <v>1</v>
      </c>
      <c r="G192" s="13" t="b">
        <v>1</v>
      </c>
      <c r="H192" s="13" t="b">
        <v>0</v>
      </c>
      <c r="I192" s="13" t="b">
        <v>0</v>
      </c>
      <c r="J192" s="13" t="b">
        <v>0</v>
      </c>
      <c r="K192" s="105">
        <v>6</v>
      </c>
      <c r="L192" s="105">
        <f>(BOHL01[[#This Row],[Column8]]-M192)</f>
        <v>1</v>
      </c>
      <c r="M192" s="105">
        <v>5</v>
      </c>
    </row>
    <row r="193" spans="2:13">
      <c r="B193" s="125"/>
      <c r="C193" s="16"/>
      <c r="D193" s="31" t="s">
        <v>508</v>
      </c>
      <c r="E193" s="32" t="s">
        <v>509</v>
      </c>
      <c r="F193" s="13" t="b">
        <v>0</v>
      </c>
      <c r="G193" s="13" t="b">
        <v>0</v>
      </c>
      <c r="H193" s="13" t="b">
        <v>0</v>
      </c>
      <c r="I193" s="13" t="b">
        <v>0</v>
      </c>
      <c r="J193" s="13" t="b">
        <v>0</v>
      </c>
      <c r="K193" s="76"/>
      <c r="L193" s="105">
        <f>(BOHL01[[#This Row],[Column8]]-M193)</f>
        <v>0</v>
      </c>
      <c r="M193" s="76"/>
    </row>
    <row r="194" spans="2:13">
      <c r="B194" s="125">
        <v>46070</v>
      </c>
      <c r="C194" s="16" t="s">
        <v>267</v>
      </c>
      <c r="D194" s="31" t="s">
        <v>510</v>
      </c>
      <c r="E194" s="32" t="s">
        <v>511</v>
      </c>
      <c r="F194" s="13" t="b">
        <v>1</v>
      </c>
      <c r="G194" s="13" t="b">
        <v>1</v>
      </c>
      <c r="H194" s="13" t="b">
        <v>0</v>
      </c>
      <c r="I194" s="13" t="b">
        <v>0</v>
      </c>
      <c r="J194" s="13" t="b">
        <v>0</v>
      </c>
      <c r="K194" s="105">
        <v>10</v>
      </c>
      <c r="L194" s="105">
        <f>(BOHL01[[#This Row],[Column8]]-M194)</f>
        <v>1</v>
      </c>
      <c r="M194" s="105">
        <v>9</v>
      </c>
    </row>
    <row r="195" spans="2:13">
      <c r="B195" s="125">
        <v>46070</v>
      </c>
      <c r="C195" s="16" t="s">
        <v>59</v>
      </c>
      <c r="D195" s="31" t="s">
        <v>512</v>
      </c>
      <c r="E195" s="32" t="s">
        <v>513</v>
      </c>
      <c r="F195" s="13" t="b">
        <v>1</v>
      </c>
      <c r="G195" s="13" t="b">
        <v>1</v>
      </c>
      <c r="H195" s="13" t="b">
        <v>0</v>
      </c>
      <c r="I195" s="13" t="b">
        <v>0</v>
      </c>
      <c r="J195" s="13" t="b">
        <v>0</v>
      </c>
      <c r="K195" s="76">
        <v>5</v>
      </c>
      <c r="L195" s="105">
        <v>0</v>
      </c>
      <c r="M195" s="76">
        <v>5</v>
      </c>
    </row>
    <row r="196" spans="2:13">
      <c r="B196" s="125">
        <v>46133</v>
      </c>
      <c r="C196" s="16" t="s">
        <v>966</v>
      </c>
      <c r="D196" s="31" t="s">
        <v>514</v>
      </c>
      <c r="E196" s="32" t="s">
        <v>272</v>
      </c>
      <c r="F196" s="13" t="b">
        <v>1</v>
      </c>
      <c r="G196" s="13" t="b">
        <v>1</v>
      </c>
      <c r="H196" s="13" t="b">
        <v>0</v>
      </c>
      <c r="I196" s="13" t="b">
        <v>0</v>
      </c>
      <c r="J196" s="13" t="b">
        <v>0</v>
      </c>
      <c r="K196" s="105">
        <v>304</v>
      </c>
      <c r="L196" s="105">
        <f>(BOHL01[[#This Row],[Column8]]-M196)</f>
        <v>68</v>
      </c>
      <c r="M196" s="105">
        <v>236</v>
      </c>
    </row>
    <row r="197" spans="2:13" ht="24">
      <c r="B197" s="125">
        <v>46063</v>
      </c>
      <c r="C197" s="16" t="s">
        <v>85</v>
      </c>
      <c r="D197" s="31" t="s">
        <v>515</v>
      </c>
      <c r="E197" s="32" t="s">
        <v>516</v>
      </c>
      <c r="F197" s="13" t="b">
        <v>1</v>
      </c>
      <c r="G197" s="13" t="b">
        <v>1</v>
      </c>
      <c r="H197" s="13" t="b">
        <v>0</v>
      </c>
      <c r="I197" s="13" t="b">
        <v>0</v>
      </c>
      <c r="J197" s="13" t="b">
        <v>0</v>
      </c>
      <c r="K197" s="76">
        <v>20</v>
      </c>
      <c r="L197" s="105">
        <f>(BOHL01[[#This Row],[Column8]]-M197)</f>
        <v>19</v>
      </c>
      <c r="M197" s="76">
        <v>1</v>
      </c>
    </row>
    <row r="198" spans="2:13">
      <c r="B198" s="125">
        <v>46112</v>
      </c>
      <c r="C198" s="16" t="s">
        <v>66</v>
      </c>
      <c r="D198" s="31" t="s">
        <v>517</v>
      </c>
      <c r="E198" s="32" t="s">
        <v>518</v>
      </c>
      <c r="F198" s="13" t="b">
        <v>1</v>
      </c>
      <c r="G198" s="13" t="b">
        <v>1</v>
      </c>
      <c r="H198" s="13" t="b">
        <v>0</v>
      </c>
      <c r="I198" s="13" t="b">
        <v>0</v>
      </c>
      <c r="J198" s="13" t="b">
        <v>0</v>
      </c>
      <c r="K198" s="105">
        <v>20</v>
      </c>
      <c r="L198" s="105">
        <f>(BOHL01[[#This Row],[Column8]]-M198)</f>
        <v>17</v>
      </c>
      <c r="M198" s="105">
        <v>3</v>
      </c>
    </row>
    <row r="199" spans="2:13">
      <c r="B199" s="125">
        <v>46112</v>
      </c>
      <c r="C199" s="16" t="s">
        <v>66</v>
      </c>
      <c r="D199" s="31" t="s">
        <v>519</v>
      </c>
      <c r="E199" s="32" t="s">
        <v>520</v>
      </c>
      <c r="F199" s="13" t="b">
        <v>1</v>
      </c>
      <c r="G199" s="13" t="b">
        <v>1</v>
      </c>
      <c r="H199" s="13" t="b">
        <v>0</v>
      </c>
      <c r="I199" s="13" t="b">
        <v>0</v>
      </c>
      <c r="J199" s="13" t="b">
        <v>0</v>
      </c>
      <c r="K199" s="76">
        <v>13</v>
      </c>
      <c r="L199" s="105">
        <f>(BOHL01[[#This Row],[Column8]]-M199)</f>
        <v>11</v>
      </c>
      <c r="M199" s="76">
        <v>2</v>
      </c>
    </row>
    <row r="200" spans="2:13">
      <c r="B200" s="125">
        <v>46063</v>
      </c>
      <c r="C200" s="16" t="s">
        <v>91</v>
      </c>
      <c r="D200" s="31" t="s">
        <v>521</v>
      </c>
      <c r="E200" s="32" t="s">
        <v>522</v>
      </c>
      <c r="F200" s="13" t="b">
        <v>1</v>
      </c>
      <c r="G200" s="13" t="b">
        <v>1</v>
      </c>
      <c r="H200" s="13" t="b">
        <v>0</v>
      </c>
      <c r="I200" s="13" t="b">
        <v>0</v>
      </c>
      <c r="J200" s="13" t="b">
        <v>0</v>
      </c>
      <c r="K200" s="105">
        <v>29</v>
      </c>
      <c r="L200" s="105">
        <f>(BOHL01[[#This Row],[Column8]]-M200)</f>
        <v>11</v>
      </c>
      <c r="M200" s="105">
        <v>18</v>
      </c>
    </row>
    <row r="201" spans="2:13">
      <c r="B201" s="125">
        <v>46063</v>
      </c>
      <c r="C201" s="16" t="s">
        <v>91</v>
      </c>
      <c r="D201" s="31" t="s">
        <v>523</v>
      </c>
      <c r="E201" s="32" t="s">
        <v>524</v>
      </c>
      <c r="F201" s="13" t="b">
        <v>1</v>
      </c>
      <c r="G201" s="13" t="b">
        <v>1</v>
      </c>
      <c r="H201" s="13" t="b">
        <v>0</v>
      </c>
      <c r="I201" s="13" t="b">
        <v>0</v>
      </c>
      <c r="J201" s="13" t="b">
        <v>0</v>
      </c>
      <c r="K201" s="76">
        <v>6</v>
      </c>
      <c r="L201" s="105">
        <f>(BOHL01[[#This Row],[Column8]]-M201)</f>
        <v>2</v>
      </c>
      <c r="M201" s="76">
        <v>4</v>
      </c>
    </row>
    <row r="202" spans="2:13" ht="24">
      <c r="B202" s="125">
        <v>46063</v>
      </c>
      <c r="C202" s="16" t="s">
        <v>66</v>
      </c>
      <c r="D202" s="31" t="s">
        <v>525</v>
      </c>
      <c r="E202" s="32" t="s">
        <v>474</v>
      </c>
      <c r="F202" s="13" t="b">
        <v>1</v>
      </c>
      <c r="G202" s="13" t="b">
        <v>1</v>
      </c>
      <c r="H202" s="13" t="b">
        <v>0</v>
      </c>
      <c r="I202" s="13" t="b">
        <v>0</v>
      </c>
      <c r="J202" s="13" t="b">
        <v>0</v>
      </c>
      <c r="K202" s="105">
        <v>14</v>
      </c>
      <c r="L202" s="105">
        <f>(BOHL01[[#This Row],[Column8]]-M202)</f>
        <v>4</v>
      </c>
      <c r="M202" s="105">
        <v>10</v>
      </c>
    </row>
    <row r="203" spans="2:13">
      <c r="B203" s="125">
        <v>46063</v>
      </c>
      <c r="C203" s="16" t="s">
        <v>85</v>
      </c>
      <c r="D203" s="31" t="s">
        <v>526</v>
      </c>
      <c r="E203" s="32" t="s">
        <v>527</v>
      </c>
      <c r="F203" s="13" t="b">
        <v>1</v>
      </c>
      <c r="G203" s="13" t="b">
        <v>1</v>
      </c>
      <c r="H203" s="13" t="b">
        <v>0</v>
      </c>
      <c r="I203" s="13" t="b">
        <v>0</v>
      </c>
      <c r="J203" s="13" t="b">
        <v>0</v>
      </c>
      <c r="K203" s="76">
        <v>15</v>
      </c>
      <c r="L203" s="105">
        <f>(BOHL01[[#This Row],[Column8]]-M203)</f>
        <v>14</v>
      </c>
      <c r="M203" s="76">
        <v>1</v>
      </c>
    </row>
    <row r="204" spans="2:13">
      <c r="B204" s="125"/>
      <c r="C204" s="16"/>
      <c r="D204" s="31" t="s">
        <v>528</v>
      </c>
      <c r="E204" s="32" t="s">
        <v>529</v>
      </c>
      <c r="F204" s="13" t="b">
        <v>0</v>
      </c>
      <c r="G204" s="13" t="b">
        <v>0</v>
      </c>
      <c r="H204" s="13" t="b">
        <v>0</v>
      </c>
      <c r="I204" s="13" t="b">
        <v>0</v>
      </c>
      <c r="J204" s="13" t="b">
        <v>0</v>
      </c>
      <c r="K204" s="105"/>
      <c r="L204" s="105">
        <f>(BOHL01[[#This Row],[Column8]]-M204)</f>
        <v>0</v>
      </c>
      <c r="M204" s="105"/>
    </row>
    <row r="205" spans="2:13" ht="36">
      <c r="B205" s="125">
        <v>46063</v>
      </c>
      <c r="C205" s="16" t="s">
        <v>94</v>
      </c>
      <c r="D205" s="31" t="s">
        <v>530</v>
      </c>
      <c r="E205" s="32" t="s">
        <v>531</v>
      </c>
      <c r="F205" s="13" t="b">
        <v>1</v>
      </c>
      <c r="G205" s="13" t="b">
        <v>1</v>
      </c>
      <c r="H205" s="13" t="b">
        <v>0</v>
      </c>
      <c r="I205" s="13" t="b">
        <v>0</v>
      </c>
      <c r="J205" s="13" t="b">
        <v>0</v>
      </c>
      <c r="K205" s="76">
        <v>10</v>
      </c>
      <c r="L205" s="105">
        <f>(BOHL01[[#This Row],[Column8]]-M205)</f>
        <v>1</v>
      </c>
      <c r="M205" s="76">
        <v>9</v>
      </c>
    </row>
    <row r="206" spans="2:13">
      <c r="B206" s="125">
        <v>46063</v>
      </c>
      <c r="C206" s="16" t="s">
        <v>96</v>
      </c>
      <c r="D206" s="31" t="s">
        <v>532</v>
      </c>
      <c r="E206" s="32" t="s">
        <v>533</v>
      </c>
      <c r="F206" s="13" t="b">
        <v>1</v>
      </c>
      <c r="G206" s="13" t="b">
        <v>1</v>
      </c>
      <c r="H206" s="13" t="b">
        <v>0</v>
      </c>
      <c r="I206" s="13" t="b">
        <v>0</v>
      </c>
      <c r="J206" s="13" t="b">
        <v>0</v>
      </c>
      <c r="K206" s="105">
        <v>22</v>
      </c>
      <c r="L206" s="105">
        <f>(BOHL01[[#This Row],[Column8]]-M206)</f>
        <v>2</v>
      </c>
      <c r="M206" s="105">
        <v>20</v>
      </c>
    </row>
    <row r="207" spans="2:13" ht="41.25">
      <c r="B207" s="125"/>
      <c r="C207" s="16"/>
      <c r="D207" s="31" t="s">
        <v>534</v>
      </c>
      <c r="E207" s="36" t="s">
        <v>535</v>
      </c>
      <c r="F207" s="13" t="b">
        <v>0</v>
      </c>
      <c r="G207" s="13" t="b">
        <v>0</v>
      </c>
      <c r="H207" s="13" t="b">
        <v>0</v>
      </c>
      <c r="I207" s="13" t="b">
        <v>0</v>
      </c>
      <c r="J207" s="13" t="b">
        <v>0</v>
      </c>
      <c r="K207" s="76"/>
      <c r="L207" s="105">
        <f>(BOHL01[[#This Row],[Column8]]-M207)</f>
        <v>0</v>
      </c>
      <c r="M207" s="76"/>
    </row>
    <row r="208" spans="2:13">
      <c r="B208" s="125"/>
      <c r="C208" s="16"/>
      <c r="D208" s="206" t="s">
        <v>536</v>
      </c>
      <c r="E208" s="32" t="s">
        <v>272</v>
      </c>
      <c r="F208" s="13" t="b">
        <v>0</v>
      </c>
      <c r="G208" s="13" t="b">
        <v>0</v>
      </c>
      <c r="H208" s="13" t="b">
        <v>0</v>
      </c>
      <c r="I208" s="13" t="b">
        <v>0</v>
      </c>
      <c r="J208" s="13" t="b">
        <v>0</v>
      </c>
      <c r="K208" s="105"/>
      <c r="L208" s="105">
        <f>(BOHL01[[#This Row],[Column8]]-M208)</f>
        <v>0</v>
      </c>
      <c r="M208" s="105"/>
    </row>
    <row r="209" spans="2:13" ht="36">
      <c r="B209" s="125">
        <v>46112</v>
      </c>
      <c r="C209" s="16" t="s">
        <v>85</v>
      </c>
      <c r="D209" s="31" t="s">
        <v>537</v>
      </c>
      <c r="E209" s="32" t="s">
        <v>538</v>
      </c>
      <c r="F209" s="13" t="b">
        <v>1</v>
      </c>
      <c r="G209" s="13" t="b">
        <v>1</v>
      </c>
      <c r="H209" s="13" t="b">
        <v>0</v>
      </c>
      <c r="I209" s="13" t="b">
        <v>0</v>
      </c>
      <c r="J209" s="13" t="b">
        <v>0</v>
      </c>
      <c r="K209" s="76">
        <v>24</v>
      </c>
      <c r="L209" s="105">
        <f>(BOHL01[[#This Row],[Column8]]-M209)</f>
        <v>7</v>
      </c>
      <c r="M209" s="76">
        <v>17</v>
      </c>
    </row>
    <row r="210" spans="2:13">
      <c r="B210" s="125">
        <v>46112</v>
      </c>
      <c r="C210" s="16" t="s">
        <v>72</v>
      </c>
      <c r="D210" s="31" t="s">
        <v>539</v>
      </c>
      <c r="E210" s="32" t="s">
        <v>540</v>
      </c>
      <c r="F210" s="13" t="b">
        <v>1</v>
      </c>
      <c r="G210" s="13" t="b">
        <v>1</v>
      </c>
      <c r="H210" s="13" t="b">
        <v>0</v>
      </c>
      <c r="I210" s="13" t="b">
        <v>0</v>
      </c>
      <c r="J210" s="13" t="b">
        <v>0</v>
      </c>
      <c r="K210" s="105">
        <v>32</v>
      </c>
      <c r="L210" s="105">
        <f>(BOHL01[[#This Row],[Column8]]-M210)</f>
        <v>9</v>
      </c>
      <c r="M210" s="105">
        <v>23</v>
      </c>
    </row>
    <row r="211" spans="2:13">
      <c r="B211" s="125">
        <v>46051</v>
      </c>
      <c r="C211" s="16" t="s">
        <v>59</v>
      </c>
      <c r="D211" s="31" t="s">
        <v>541</v>
      </c>
      <c r="E211" s="32" t="s">
        <v>542</v>
      </c>
      <c r="F211" s="13" t="b">
        <v>1</v>
      </c>
      <c r="G211" s="13" t="b">
        <v>1</v>
      </c>
      <c r="H211" s="13" t="b">
        <v>0</v>
      </c>
      <c r="I211" s="13" t="b">
        <v>0</v>
      </c>
      <c r="J211" s="13" t="b">
        <v>0</v>
      </c>
      <c r="K211" s="76">
        <v>24</v>
      </c>
      <c r="L211" s="105">
        <f>(BOHL01[[#This Row],[Column8]]-M211)</f>
        <v>11</v>
      </c>
      <c r="M211" s="76">
        <v>13</v>
      </c>
    </row>
    <row r="212" spans="2:13">
      <c r="B212" s="125">
        <v>46070</v>
      </c>
      <c r="C212" s="16" t="s">
        <v>85</v>
      </c>
      <c r="D212" s="31" t="s">
        <v>543</v>
      </c>
      <c r="E212" s="32" t="s">
        <v>544</v>
      </c>
      <c r="F212" s="13" t="b">
        <v>1</v>
      </c>
      <c r="G212" s="13" t="b">
        <v>1</v>
      </c>
      <c r="H212" s="13" t="b">
        <v>0</v>
      </c>
      <c r="I212" s="13" t="b">
        <v>0</v>
      </c>
      <c r="J212" s="13" t="b">
        <v>0</v>
      </c>
      <c r="K212" s="105">
        <v>12</v>
      </c>
      <c r="L212" s="105">
        <f>(BOHL01[[#This Row],[Column8]]-M212)</f>
        <v>2</v>
      </c>
      <c r="M212" s="105">
        <v>10</v>
      </c>
    </row>
    <row r="213" spans="2:13" ht="24">
      <c r="B213" s="125">
        <v>46051</v>
      </c>
      <c r="C213" s="16" t="s">
        <v>59</v>
      </c>
      <c r="D213" s="31" t="s">
        <v>545</v>
      </c>
      <c r="E213" s="32" t="s">
        <v>546</v>
      </c>
      <c r="F213" s="13" t="b">
        <v>1</v>
      </c>
      <c r="G213" s="13" t="b">
        <v>1</v>
      </c>
      <c r="H213" s="13" t="b">
        <v>0</v>
      </c>
      <c r="I213" s="13" t="b">
        <v>0</v>
      </c>
      <c r="J213" s="13" t="b">
        <v>0</v>
      </c>
      <c r="K213" s="76">
        <v>10</v>
      </c>
      <c r="L213" s="105">
        <f>(BOHL01[[#This Row],[Column8]]-M213)</f>
        <v>1</v>
      </c>
      <c r="M213" s="76">
        <v>9</v>
      </c>
    </row>
    <row r="214" spans="2:13" ht="24">
      <c r="B214" s="125">
        <v>46063</v>
      </c>
      <c r="C214" s="16" t="s">
        <v>63</v>
      </c>
      <c r="D214" s="31" t="s">
        <v>547</v>
      </c>
      <c r="E214" s="32" t="s">
        <v>548</v>
      </c>
      <c r="F214" s="13" t="b">
        <v>1</v>
      </c>
      <c r="G214" s="13" t="b">
        <v>1</v>
      </c>
      <c r="H214" s="13" t="b">
        <v>0</v>
      </c>
      <c r="I214" s="13" t="b">
        <v>0</v>
      </c>
      <c r="J214" s="13" t="b">
        <v>0</v>
      </c>
      <c r="K214" s="105">
        <v>23</v>
      </c>
      <c r="L214" s="105">
        <f>(BOHL01[[#This Row],[Column8]]-M214)</f>
        <v>11</v>
      </c>
      <c r="M214" s="105">
        <v>12</v>
      </c>
    </row>
    <row r="215" spans="2:13">
      <c r="B215" s="125">
        <v>46112</v>
      </c>
      <c r="C215" s="16" t="s">
        <v>53</v>
      </c>
      <c r="D215" s="31" t="s">
        <v>549</v>
      </c>
      <c r="E215" s="32" t="s">
        <v>550</v>
      </c>
      <c r="F215" s="13" t="b">
        <v>1</v>
      </c>
      <c r="G215" s="13" t="b">
        <v>1</v>
      </c>
      <c r="H215" s="13" t="b">
        <v>0</v>
      </c>
      <c r="I215" s="13" t="b">
        <v>0</v>
      </c>
      <c r="J215" s="13" t="b">
        <v>0</v>
      </c>
      <c r="K215" s="76">
        <v>35</v>
      </c>
      <c r="L215" s="105">
        <f>(BOHL01[[#This Row],[Column8]]-M215)</f>
        <v>7</v>
      </c>
      <c r="M215" s="76">
        <v>28</v>
      </c>
    </row>
    <row r="216" spans="2:13" ht="24">
      <c r="B216" s="125">
        <v>46112</v>
      </c>
      <c r="C216" s="16" t="s">
        <v>53</v>
      </c>
      <c r="D216" s="31" t="s">
        <v>551</v>
      </c>
      <c r="E216" s="32" t="s">
        <v>552</v>
      </c>
      <c r="F216" s="13" t="b">
        <v>1</v>
      </c>
      <c r="G216" s="13" t="b">
        <v>1</v>
      </c>
      <c r="H216" s="13" t="b">
        <v>0</v>
      </c>
      <c r="I216" s="13" t="b">
        <v>0</v>
      </c>
      <c r="J216" s="13" t="b">
        <v>0</v>
      </c>
      <c r="K216" s="105">
        <v>40</v>
      </c>
      <c r="L216" s="105">
        <f>(BOHL01[[#This Row],[Column8]]-M216)</f>
        <v>7</v>
      </c>
      <c r="M216" s="105">
        <v>33</v>
      </c>
    </row>
    <row r="217" spans="2:13">
      <c r="B217" s="125">
        <v>46112</v>
      </c>
      <c r="C217" s="16" t="s">
        <v>53</v>
      </c>
      <c r="D217" s="31" t="s">
        <v>553</v>
      </c>
      <c r="E217" s="32" t="s">
        <v>554</v>
      </c>
      <c r="F217" s="13" t="b">
        <v>1</v>
      </c>
      <c r="G217" s="13" t="b">
        <v>1</v>
      </c>
      <c r="H217" s="13" t="b">
        <v>0</v>
      </c>
      <c r="I217" s="13" t="b">
        <v>0</v>
      </c>
      <c r="J217" s="13" t="b">
        <v>0</v>
      </c>
      <c r="K217" s="76">
        <v>41</v>
      </c>
      <c r="L217" s="105">
        <f>(BOHL01[[#This Row],[Column8]]-M217)</f>
        <v>11</v>
      </c>
      <c r="M217" s="76">
        <v>30</v>
      </c>
    </row>
    <row r="218" spans="2:13">
      <c r="B218" s="125">
        <v>46063</v>
      </c>
      <c r="C218" s="16" t="s">
        <v>63</v>
      </c>
      <c r="D218" s="31" t="s">
        <v>555</v>
      </c>
      <c r="E218" s="32" t="s">
        <v>556</v>
      </c>
      <c r="F218" s="13" t="b">
        <v>1</v>
      </c>
      <c r="G218" s="13" t="b">
        <v>1</v>
      </c>
      <c r="H218" s="13" t="b">
        <v>0</v>
      </c>
      <c r="I218" s="13" t="b">
        <v>0</v>
      </c>
      <c r="J218" s="13" t="b">
        <v>0</v>
      </c>
      <c r="K218" s="105">
        <v>21</v>
      </c>
      <c r="L218" s="105">
        <f>(BOHL01[[#This Row],[Column8]]-M218)</f>
        <v>3</v>
      </c>
      <c r="M218" s="105">
        <v>18</v>
      </c>
    </row>
    <row r="219" spans="2:13" ht="24">
      <c r="B219" s="125">
        <v>46063</v>
      </c>
      <c r="C219" s="16" t="s">
        <v>85</v>
      </c>
      <c r="D219" s="31" t="s">
        <v>557</v>
      </c>
      <c r="E219" s="32" t="s">
        <v>558</v>
      </c>
      <c r="F219" s="13" t="b">
        <v>1</v>
      </c>
      <c r="G219" s="13" t="b">
        <v>1</v>
      </c>
      <c r="H219" s="13" t="b">
        <v>0</v>
      </c>
      <c r="I219" s="13" t="b">
        <v>0</v>
      </c>
      <c r="J219" s="13" t="b">
        <v>0</v>
      </c>
      <c r="K219" s="76">
        <v>21</v>
      </c>
      <c r="L219" s="105">
        <f>(BOHL01[[#This Row],[Column8]]-M219)</f>
        <v>2</v>
      </c>
      <c r="M219" s="76">
        <v>19</v>
      </c>
    </row>
    <row r="220" spans="2:13">
      <c r="B220" s="125">
        <v>46063</v>
      </c>
      <c r="C220" s="16" t="s">
        <v>63</v>
      </c>
      <c r="D220" s="31" t="s">
        <v>559</v>
      </c>
      <c r="E220" s="32" t="s">
        <v>560</v>
      </c>
      <c r="F220" s="13" t="b">
        <v>1</v>
      </c>
      <c r="G220" s="13" t="b">
        <v>1</v>
      </c>
      <c r="H220" s="13" t="b">
        <v>0</v>
      </c>
      <c r="I220" s="13" t="b">
        <v>0</v>
      </c>
      <c r="J220" s="13" t="b">
        <v>0</v>
      </c>
      <c r="K220" s="105">
        <v>23</v>
      </c>
      <c r="L220" s="105">
        <f>(BOHL01[[#This Row],[Column8]]-M220)</f>
        <v>3</v>
      </c>
      <c r="M220" s="105">
        <v>20</v>
      </c>
    </row>
    <row r="221" spans="2:13">
      <c r="B221" s="125">
        <v>46063</v>
      </c>
      <c r="C221" s="16" t="s">
        <v>85</v>
      </c>
      <c r="D221" s="31" t="s">
        <v>561</v>
      </c>
      <c r="E221" s="32" t="s">
        <v>562</v>
      </c>
      <c r="F221" s="13" t="b">
        <v>1</v>
      </c>
      <c r="G221" s="13" t="b">
        <v>1</v>
      </c>
      <c r="H221" s="13" t="b">
        <v>0</v>
      </c>
      <c r="I221" s="13" t="b">
        <v>0</v>
      </c>
      <c r="J221" s="13" t="b">
        <v>0</v>
      </c>
      <c r="K221" s="76">
        <v>10</v>
      </c>
      <c r="L221" s="105">
        <f>(BOHL01[[#This Row],[Column8]]-M221)</f>
        <v>9</v>
      </c>
      <c r="M221" s="76">
        <v>1</v>
      </c>
    </row>
    <row r="222" spans="2:13" ht="24">
      <c r="B222" s="125">
        <v>46063</v>
      </c>
      <c r="C222" s="16" t="s">
        <v>85</v>
      </c>
      <c r="D222" s="31" t="s">
        <v>563</v>
      </c>
      <c r="E222" s="32" t="s">
        <v>564</v>
      </c>
      <c r="F222" s="13" t="b">
        <v>1</v>
      </c>
      <c r="G222" s="13" t="b">
        <v>1</v>
      </c>
      <c r="H222" s="13" t="b">
        <v>0</v>
      </c>
      <c r="I222" s="13" t="b">
        <v>0</v>
      </c>
      <c r="J222" s="13" t="b">
        <v>0</v>
      </c>
      <c r="K222" s="105">
        <v>16</v>
      </c>
      <c r="L222" s="105">
        <f>(BOHL01[[#This Row],[Column8]]-M222)</f>
        <v>5</v>
      </c>
      <c r="M222" s="105">
        <v>11</v>
      </c>
    </row>
    <row r="223" spans="2:13">
      <c r="B223" s="125">
        <v>46063</v>
      </c>
      <c r="C223" s="16" t="s">
        <v>63</v>
      </c>
      <c r="D223" s="31" t="s">
        <v>565</v>
      </c>
      <c r="E223" s="32" t="s">
        <v>562</v>
      </c>
      <c r="F223" s="13" t="b">
        <v>1</v>
      </c>
      <c r="G223" s="13" t="b">
        <v>1</v>
      </c>
      <c r="H223" s="13" t="b">
        <v>0</v>
      </c>
      <c r="I223" s="13" t="b">
        <v>0</v>
      </c>
      <c r="J223" s="13" t="b">
        <v>0</v>
      </c>
      <c r="K223" s="76">
        <v>21</v>
      </c>
      <c r="L223" s="105">
        <f>(BOHL01[[#This Row],[Column8]]-M223)</f>
        <v>3</v>
      </c>
      <c r="M223" s="76">
        <v>18</v>
      </c>
    </row>
    <row r="224" spans="2:13">
      <c r="B224" s="125">
        <v>46070</v>
      </c>
      <c r="C224" s="16" t="s">
        <v>59</v>
      </c>
      <c r="D224" s="31" t="s">
        <v>566</v>
      </c>
      <c r="E224" s="32" t="s">
        <v>540</v>
      </c>
      <c r="F224" s="13" t="b">
        <v>1</v>
      </c>
      <c r="G224" s="13" t="b">
        <v>1</v>
      </c>
      <c r="H224" s="13" t="b">
        <v>0</v>
      </c>
      <c r="I224" s="13" t="b">
        <v>0</v>
      </c>
      <c r="J224" s="13" t="b">
        <v>0</v>
      </c>
      <c r="K224" s="105">
        <v>13</v>
      </c>
      <c r="L224" s="105">
        <f>(BOHL01[[#This Row],[Column8]]-M224)</f>
        <v>2</v>
      </c>
      <c r="M224" s="105">
        <v>11</v>
      </c>
    </row>
    <row r="225" spans="2:13">
      <c r="B225" s="125">
        <v>46070</v>
      </c>
      <c r="C225" s="16" t="s">
        <v>59</v>
      </c>
      <c r="D225" s="31" t="s">
        <v>567</v>
      </c>
      <c r="E225" s="32" t="s">
        <v>568</v>
      </c>
      <c r="F225" s="13" t="b">
        <v>1</v>
      </c>
      <c r="G225" s="13" t="b">
        <v>1</v>
      </c>
      <c r="H225" s="13" t="b">
        <v>0</v>
      </c>
      <c r="I225" s="13" t="b">
        <v>0</v>
      </c>
      <c r="J225" s="13" t="b">
        <v>0</v>
      </c>
      <c r="K225" s="76">
        <v>5</v>
      </c>
      <c r="L225" s="105">
        <f>(BOHL01[[#This Row],[Column8]]-M225)</f>
        <v>0</v>
      </c>
      <c r="M225" s="76">
        <v>5</v>
      </c>
    </row>
    <row r="226" spans="2:13" ht="24">
      <c r="B226" s="125">
        <v>46042</v>
      </c>
      <c r="C226" s="16" t="s">
        <v>66</v>
      </c>
      <c r="D226" s="31" t="s">
        <v>569</v>
      </c>
      <c r="E226" s="32" t="s">
        <v>570</v>
      </c>
      <c r="F226" s="13" t="b">
        <v>1</v>
      </c>
      <c r="G226" s="13" t="b">
        <v>1</v>
      </c>
      <c r="H226" s="13" t="b">
        <v>0</v>
      </c>
      <c r="I226" s="13" t="b">
        <v>0</v>
      </c>
      <c r="J226" s="13" t="b">
        <v>0</v>
      </c>
      <c r="K226" s="105">
        <v>21</v>
      </c>
      <c r="L226" s="105">
        <f>(BOHL01[[#This Row],[Column8]]-M226)</f>
        <v>8</v>
      </c>
      <c r="M226" s="105">
        <v>13</v>
      </c>
    </row>
    <row r="227" spans="2:13">
      <c r="B227" s="125">
        <v>46042</v>
      </c>
      <c r="C227" s="16" t="s">
        <v>56</v>
      </c>
      <c r="D227" s="31" t="s">
        <v>571</v>
      </c>
      <c r="E227" s="32" t="s">
        <v>246</v>
      </c>
      <c r="F227" s="13" t="b">
        <v>1</v>
      </c>
      <c r="G227" s="13" t="b">
        <v>1</v>
      </c>
      <c r="H227" s="13" t="b">
        <v>0</v>
      </c>
      <c r="I227" s="13" t="b">
        <v>0</v>
      </c>
      <c r="J227" s="13" t="b">
        <v>0</v>
      </c>
      <c r="K227" s="76">
        <v>13</v>
      </c>
      <c r="L227" s="105">
        <f>(BOHL01[[#This Row],[Column8]]-M227)</f>
        <v>2</v>
      </c>
      <c r="M227" s="76">
        <v>11</v>
      </c>
    </row>
    <row r="228" spans="2:13">
      <c r="B228" s="125">
        <v>46119</v>
      </c>
      <c r="C228" s="16" t="s">
        <v>85</v>
      </c>
      <c r="D228" s="31" t="s">
        <v>572</v>
      </c>
      <c r="E228" s="35" t="s">
        <v>573</v>
      </c>
      <c r="F228" s="13" t="b">
        <v>1</v>
      </c>
      <c r="G228" s="13" t="b">
        <v>1</v>
      </c>
      <c r="H228" s="13" t="b">
        <v>0</v>
      </c>
      <c r="I228" s="13" t="b">
        <v>0</v>
      </c>
      <c r="J228" s="13" t="b">
        <v>0</v>
      </c>
      <c r="K228" s="105">
        <v>16</v>
      </c>
      <c r="L228" s="105">
        <f>(BOHL01[[#This Row],[Column8]]-M228)</f>
        <v>7</v>
      </c>
      <c r="M228" s="105">
        <v>9</v>
      </c>
    </row>
    <row r="229" spans="2:13">
      <c r="B229" s="125">
        <v>46112</v>
      </c>
      <c r="C229" s="16" t="s">
        <v>62</v>
      </c>
      <c r="D229" s="31" t="s">
        <v>574</v>
      </c>
      <c r="E229" s="32" t="s">
        <v>575</v>
      </c>
      <c r="F229" s="13" t="b">
        <v>1</v>
      </c>
      <c r="G229" s="13" t="b">
        <v>1</v>
      </c>
      <c r="H229" s="13" t="b">
        <v>0</v>
      </c>
      <c r="I229" s="13" t="b">
        <v>0</v>
      </c>
      <c r="J229" s="13" t="b">
        <v>0</v>
      </c>
      <c r="K229" s="76">
        <v>16</v>
      </c>
      <c r="L229" s="105">
        <f>(BOHL01[[#This Row],[Column8]]-M229)</f>
        <v>6</v>
      </c>
      <c r="M229" s="76">
        <v>10</v>
      </c>
    </row>
    <row r="230" spans="2:13">
      <c r="B230" s="125">
        <v>46133</v>
      </c>
      <c r="C230" s="16" t="s">
        <v>973</v>
      </c>
      <c r="D230" s="31" t="s">
        <v>576</v>
      </c>
      <c r="E230" s="32" t="s">
        <v>577</v>
      </c>
      <c r="F230" s="13" t="b">
        <v>1</v>
      </c>
      <c r="G230" s="13" t="b">
        <v>1</v>
      </c>
      <c r="H230" s="13" t="b">
        <v>0</v>
      </c>
      <c r="I230" s="13" t="b">
        <v>0</v>
      </c>
      <c r="J230" s="13" t="b">
        <v>0</v>
      </c>
      <c r="K230" s="105">
        <v>19</v>
      </c>
      <c r="L230" s="105">
        <f>(BOHL01[[#This Row],[Column8]]-M230)</f>
        <v>2</v>
      </c>
      <c r="M230" s="105">
        <v>17</v>
      </c>
    </row>
    <row r="231" spans="2:13">
      <c r="B231" s="125">
        <v>46133</v>
      </c>
      <c r="C231" s="16" t="s">
        <v>973</v>
      </c>
      <c r="D231" s="31" t="s">
        <v>578</v>
      </c>
      <c r="E231" s="32" t="s">
        <v>579</v>
      </c>
      <c r="F231" s="13" t="b">
        <v>1</v>
      </c>
      <c r="G231" s="13" t="b">
        <v>1</v>
      </c>
      <c r="H231" s="13" t="b">
        <v>0</v>
      </c>
      <c r="I231" s="13" t="b">
        <v>0</v>
      </c>
      <c r="J231" s="13" t="b">
        <v>0</v>
      </c>
      <c r="K231" s="76">
        <v>22</v>
      </c>
      <c r="L231" s="105">
        <f>(BOHL01[[#This Row],[Column8]]-M231)</f>
        <v>7</v>
      </c>
      <c r="M231" s="76">
        <v>15</v>
      </c>
    </row>
    <row r="232" spans="2:13">
      <c r="B232" s="125"/>
      <c r="C232" s="16"/>
      <c r="D232" s="31" t="s">
        <v>580</v>
      </c>
      <c r="E232" s="208" t="s">
        <v>581</v>
      </c>
      <c r="F232" s="13" t="b">
        <v>0</v>
      </c>
      <c r="G232" s="13" t="b">
        <v>0</v>
      </c>
      <c r="H232" s="13" t="b">
        <v>0</v>
      </c>
      <c r="I232" s="13" t="b">
        <v>0</v>
      </c>
      <c r="J232" s="13" t="b">
        <v>0</v>
      </c>
      <c r="K232" s="105"/>
      <c r="L232" s="105">
        <f>(BOHL01[[#This Row],[Column8]]-M232)</f>
        <v>0</v>
      </c>
      <c r="M232" s="105"/>
    </row>
    <row r="233" spans="2:13" ht="24">
      <c r="B233" s="125">
        <v>46063</v>
      </c>
      <c r="C233" s="16" t="s">
        <v>72</v>
      </c>
      <c r="D233" s="31" t="s">
        <v>582</v>
      </c>
      <c r="E233" s="32" t="s">
        <v>583</v>
      </c>
      <c r="F233" s="13" t="b">
        <v>1</v>
      </c>
      <c r="G233" s="13" t="b">
        <v>1</v>
      </c>
      <c r="H233" s="13" t="b">
        <v>0</v>
      </c>
      <c r="I233" s="13" t="b">
        <v>0</v>
      </c>
      <c r="J233" s="13" t="b">
        <v>0</v>
      </c>
      <c r="K233" s="76">
        <v>26</v>
      </c>
      <c r="L233" s="105">
        <f>(BOHL01[[#This Row],[Column8]]-M233)</f>
        <v>0</v>
      </c>
      <c r="M233" s="76">
        <v>26</v>
      </c>
    </row>
    <row r="234" spans="2:13">
      <c r="B234" s="125"/>
      <c r="C234" s="16"/>
      <c r="D234" s="31" t="s">
        <v>584</v>
      </c>
      <c r="E234" s="208" t="s">
        <v>581</v>
      </c>
      <c r="F234" s="13" t="b">
        <v>0</v>
      </c>
      <c r="G234" s="13" t="b">
        <v>0</v>
      </c>
      <c r="H234" s="13" t="b">
        <v>0</v>
      </c>
      <c r="I234" s="13" t="b">
        <v>0</v>
      </c>
      <c r="J234" s="13" t="b">
        <v>0</v>
      </c>
      <c r="K234" s="105"/>
      <c r="L234" s="105">
        <f>(BOHL01[[#This Row],[Column8]]-M234)</f>
        <v>0</v>
      </c>
      <c r="M234" s="105"/>
    </row>
    <row r="235" spans="2:13">
      <c r="B235" s="125"/>
      <c r="C235" s="16"/>
      <c r="D235" s="31" t="s">
        <v>585</v>
      </c>
      <c r="E235" s="32" t="s">
        <v>272</v>
      </c>
      <c r="F235" s="13" t="b">
        <v>0</v>
      </c>
      <c r="G235" s="13" t="b">
        <v>0</v>
      </c>
      <c r="H235" s="13" t="b">
        <v>0</v>
      </c>
      <c r="I235" s="13" t="b">
        <v>0</v>
      </c>
      <c r="J235" s="13" t="b">
        <v>0</v>
      </c>
      <c r="K235" s="76"/>
      <c r="L235" s="105">
        <f>(BOHL01[[#This Row],[Column8]]-M235)</f>
        <v>0</v>
      </c>
      <c r="M235" s="76"/>
    </row>
    <row r="236" spans="2:13" ht="24">
      <c r="B236" s="125">
        <v>46112</v>
      </c>
      <c r="C236" s="16" t="s">
        <v>62</v>
      </c>
      <c r="D236" s="31" t="s">
        <v>586</v>
      </c>
      <c r="E236" s="32" t="s">
        <v>587</v>
      </c>
      <c r="F236" s="13" t="b">
        <v>1</v>
      </c>
      <c r="G236" s="13" t="b">
        <v>1</v>
      </c>
      <c r="H236" s="13" t="b">
        <v>0</v>
      </c>
      <c r="I236" s="13" t="b">
        <v>0</v>
      </c>
      <c r="J236" s="13" t="b">
        <v>0</v>
      </c>
      <c r="K236" s="105">
        <v>43</v>
      </c>
      <c r="L236" s="105">
        <f>(BOHL01[[#This Row],[Column8]]-M236)</f>
        <v>16</v>
      </c>
      <c r="M236" s="105">
        <v>27</v>
      </c>
    </row>
    <row r="237" spans="2:13">
      <c r="B237" s="125">
        <v>46070</v>
      </c>
      <c r="C237" s="16" t="s">
        <v>75</v>
      </c>
      <c r="D237" s="31" t="s">
        <v>588</v>
      </c>
      <c r="E237" s="32" t="s">
        <v>589</v>
      </c>
      <c r="F237" s="13" t="b">
        <v>1</v>
      </c>
      <c r="G237" s="13" t="b">
        <v>1</v>
      </c>
      <c r="H237" s="13" t="b">
        <v>0</v>
      </c>
      <c r="I237" s="13" t="b">
        <v>0</v>
      </c>
      <c r="J237" s="13" t="b">
        <v>0</v>
      </c>
      <c r="K237" s="76">
        <v>32</v>
      </c>
      <c r="L237" s="105">
        <f>(BOHL01[[#This Row],[Column8]]-M237)</f>
        <v>4</v>
      </c>
      <c r="M237" s="76">
        <v>28</v>
      </c>
    </row>
    <row r="238" spans="2:13" ht="36">
      <c r="B238" s="125">
        <v>46112</v>
      </c>
      <c r="C238" s="16" t="s">
        <v>69</v>
      </c>
      <c r="D238" s="190" t="s">
        <v>590</v>
      </c>
      <c r="E238" s="32" t="s">
        <v>591</v>
      </c>
      <c r="F238" s="13" t="b">
        <v>1</v>
      </c>
      <c r="G238" s="13" t="b">
        <v>1</v>
      </c>
      <c r="H238" s="13" t="b">
        <v>0</v>
      </c>
      <c r="I238" s="13" t="b">
        <v>0</v>
      </c>
      <c r="J238" s="13" t="b">
        <v>0</v>
      </c>
      <c r="K238" s="105">
        <v>55</v>
      </c>
      <c r="L238" s="105">
        <f>(BOHL01[[#This Row],[Column8]]-M238)</f>
        <v>19</v>
      </c>
      <c r="M238" s="105">
        <v>36</v>
      </c>
    </row>
    <row r="239" spans="2:13" ht="24">
      <c r="B239" s="125">
        <v>46134</v>
      </c>
      <c r="C239" s="16" t="s">
        <v>75</v>
      </c>
      <c r="D239" s="31" t="s">
        <v>592</v>
      </c>
      <c r="E239" s="32" t="s">
        <v>593</v>
      </c>
      <c r="F239" s="13" t="b">
        <v>1</v>
      </c>
      <c r="G239" s="13" t="b">
        <v>1</v>
      </c>
      <c r="H239" s="13" t="b">
        <v>0</v>
      </c>
      <c r="I239" s="13" t="b">
        <v>0</v>
      </c>
      <c r="J239" s="13" t="b">
        <v>0</v>
      </c>
      <c r="K239" s="76">
        <v>73</v>
      </c>
      <c r="L239" s="105">
        <f>(BOHL01[[#This Row],[Column8]]-M239)</f>
        <v>42</v>
      </c>
      <c r="M239" s="76">
        <v>31</v>
      </c>
    </row>
    <row r="240" spans="2:13" ht="24">
      <c r="B240" s="125">
        <v>46070</v>
      </c>
      <c r="C240" s="16" t="s">
        <v>63</v>
      </c>
      <c r="D240" s="31" t="s">
        <v>594</v>
      </c>
      <c r="E240" s="32" t="s">
        <v>595</v>
      </c>
      <c r="F240" s="13" t="b">
        <v>1</v>
      </c>
      <c r="G240" s="13" t="b">
        <v>1</v>
      </c>
      <c r="H240" s="13" t="b">
        <v>0</v>
      </c>
      <c r="I240" s="13" t="b">
        <v>0</v>
      </c>
      <c r="J240" s="13" t="b">
        <v>0</v>
      </c>
      <c r="K240" s="105">
        <v>87</v>
      </c>
      <c r="L240" s="105">
        <f>(BOHL01[[#This Row],[Column8]]-M240)</f>
        <v>65</v>
      </c>
      <c r="M240" s="105">
        <v>22</v>
      </c>
    </row>
    <row r="241" spans="2:13">
      <c r="B241" s="125">
        <v>46070</v>
      </c>
      <c r="C241" s="16" t="s">
        <v>56</v>
      </c>
      <c r="D241" s="31" t="s">
        <v>596</v>
      </c>
      <c r="E241" s="32" t="s">
        <v>597</v>
      </c>
      <c r="F241" s="13" t="b">
        <v>1</v>
      </c>
      <c r="G241" s="13" t="b">
        <v>1</v>
      </c>
      <c r="H241" s="13" t="b">
        <v>0</v>
      </c>
      <c r="I241" s="13" t="b">
        <v>0</v>
      </c>
      <c r="J241" s="13" t="b">
        <v>0</v>
      </c>
      <c r="K241" s="76">
        <v>26</v>
      </c>
      <c r="L241" s="105">
        <f>(BOHL01[[#This Row],[Column8]]-M241)</f>
        <v>11</v>
      </c>
      <c r="M241" s="76">
        <v>15</v>
      </c>
    </row>
    <row r="242" spans="2:13">
      <c r="B242" s="125">
        <v>46070</v>
      </c>
      <c r="C242" s="16" t="s">
        <v>75</v>
      </c>
      <c r="D242" s="31" t="s">
        <v>598</v>
      </c>
      <c r="E242" s="32" t="s">
        <v>599</v>
      </c>
      <c r="F242" s="13" t="b">
        <v>1</v>
      </c>
      <c r="G242" s="13" t="b">
        <v>1</v>
      </c>
      <c r="H242" s="13" t="b">
        <v>0</v>
      </c>
      <c r="I242" s="13" t="b">
        <v>0</v>
      </c>
      <c r="J242" s="13" t="b">
        <v>0</v>
      </c>
      <c r="K242" s="105">
        <v>10</v>
      </c>
      <c r="L242" s="105">
        <f>(BOHL01[[#This Row],[Column8]]-M242)</f>
        <v>1</v>
      </c>
      <c r="M242" s="105">
        <v>9</v>
      </c>
    </row>
    <row r="243" spans="2:13">
      <c r="B243" s="125"/>
      <c r="C243" s="16"/>
      <c r="D243" s="31" t="s">
        <v>600</v>
      </c>
      <c r="E243" s="32" t="s">
        <v>601</v>
      </c>
      <c r="F243" s="13" t="b">
        <v>0</v>
      </c>
      <c r="G243" s="13" t="b">
        <v>0</v>
      </c>
      <c r="H243" s="13" t="b">
        <v>0</v>
      </c>
      <c r="I243" s="13" t="b">
        <v>0</v>
      </c>
      <c r="J243" s="13" t="b">
        <v>0</v>
      </c>
      <c r="K243" s="76"/>
      <c r="L243" s="105">
        <f>(BOHL01[[#This Row],[Column8]]-M243)</f>
        <v>0</v>
      </c>
      <c r="M243" s="76"/>
    </row>
    <row r="244" spans="2:13">
      <c r="B244" s="125">
        <v>46133</v>
      </c>
      <c r="C244" s="16" t="s">
        <v>56</v>
      </c>
      <c r="D244" s="31" t="s">
        <v>602</v>
      </c>
      <c r="E244" s="32" t="s">
        <v>408</v>
      </c>
      <c r="F244" s="13" t="b">
        <v>1</v>
      </c>
      <c r="G244" s="13" t="b">
        <v>1</v>
      </c>
      <c r="H244" s="13" t="b">
        <v>0</v>
      </c>
      <c r="I244" s="13" t="b">
        <v>0</v>
      </c>
      <c r="J244" s="13" t="b">
        <v>0</v>
      </c>
      <c r="K244" s="105">
        <v>35</v>
      </c>
      <c r="L244" s="105">
        <f>(BOHL01[[#This Row],[Column8]]-M244)</f>
        <v>11</v>
      </c>
      <c r="M244" s="105">
        <v>24</v>
      </c>
    </row>
    <row r="245" spans="2:13">
      <c r="B245" s="125"/>
      <c r="C245" s="16"/>
      <c r="D245" s="31" t="s">
        <v>603</v>
      </c>
      <c r="E245" s="32" t="s">
        <v>577</v>
      </c>
      <c r="F245" s="13" t="b">
        <v>0</v>
      </c>
      <c r="G245" s="13" t="b">
        <v>0</v>
      </c>
      <c r="H245" s="13" t="b">
        <v>0</v>
      </c>
      <c r="I245" s="13" t="b">
        <v>0</v>
      </c>
      <c r="J245" s="13" t="b">
        <v>0</v>
      </c>
      <c r="K245" s="76"/>
      <c r="L245" s="105">
        <f>(BOHL01[[#This Row],[Column8]]-M245)</f>
        <v>0</v>
      </c>
      <c r="M245" s="76"/>
    </row>
    <row r="246" spans="2:13">
      <c r="B246" s="125"/>
      <c r="C246" s="16"/>
      <c r="D246" s="31" t="s">
        <v>604</v>
      </c>
      <c r="E246" s="32" t="s">
        <v>579</v>
      </c>
      <c r="F246" s="13" t="b">
        <v>0</v>
      </c>
      <c r="G246" s="13" t="b">
        <v>0</v>
      </c>
      <c r="H246" s="13" t="b">
        <v>0</v>
      </c>
      <c r="I246" s="13" t="b">
        <v>0</v>
      </c>
      <c r="J246" s="13" t="b">
        <v>0</v>
      </c>
      <c r="K246" s="105"/>
      <c r="L246" s="105">
        <f>(BOHL01[[#This Row],[Column8]]-M246)</f>
        <v>0</v>
      </c>
      <c r="M246" s="105"/>
    </row>
    <row r="247" spans="2:13">
      <c r="B247" s="125"/>
      <c r="C247" s="16"/>
      <c r="D247" s="31" t="s">
        <v>605</v>
      </c>
      <c r="E247" s="32" t="s">
        <v>425</v>
      </c>
      <c r="F247" s="13" t="b">
        <v>0</v>
      </c>
      <c r="G247" s="13" t="b">
        <v>0</v>
      </c>
      <c r="H247" s="13" t="b">
        <v>0</v>
      </c>
      <c r="I247" s="13" t="b">
        <v>0</v>
      </c>
      <c r="J247" s="13" t="b">
        <v>0</v>
      </c>
      <c r="K247" s="76"/>
      <c r="L247" s="105">
        <f>(BOHL01[[#This Row],[Column8]]-M247)</f>
        <v>0</v>
      </c>
      <c r="M247" s="76"/>
    </row>
    <row r="248" spans="2:13">
      <c r="B248" s="125">
        <v>46134</v>
      </c>
      <c r="C248" s="16" t="s">
        <v>974</v>
      </c>
      <c r="D248" s="31" t="s">
        <v>606</v>
      </c>
      <c r="E248" s="32" t="s">
        <v>607</v>
      </c>
      <c r="F248" s="13" t="b">
        <v>1</v>
      </c>
      <c r="G248" s="13" t="b">
        <v>1</v>
      </c>
      <c r="H248" s="13" t="b">
        <v>0</v>
      </c>
      <c r="I248" s="13" t="b">
        <v>0</v>
      </c>
      <c r="J248" s="13" t="b">
        <v>0</v>
      </c>
      <c r="K248" s="105">
        <v>15</v>
      </c>
      <c r="L248" s="105">
        <f>(BOHL01[[#This Row],[Column8]]-M248)</f>
        <v>6</v>
      </c>
      <c r="M248" s="105">
        <v>9</v>
      </c>
    </row>
    <row r="249" spans="2:13">
      <c r="B249" s="125"/>
      <c r="C249" s="16"/>
      <c r="D249" s="31" t="s">
        <v>608</v>
      </c>
      <c r="E249" s="32" t="s">
        <v>388</v>
      </c>
      <c r="F249" s="13" t="b">
        <v>0</v>
      </c>
      <c r="G249" s="13" t="b">
        <v>0</v>
      </c>
      <c r="H249" s="13" t="b">
        <v>0</v>
      </c>
      <c r="I249" s="13" t="b">
        <v>0</v>
      </c>
      <c r="J249" s="13" t="b">
        <v>0</v>
      </c>
      <c r="K249" s="76"/>
      <c r="L249" s="105">
        <f>(BOHL01[[#This Row],[Column8]]-M249)</f>
        <v>0</v>
      </c>
      <c r="M249" s="76"/>
    </row>
    <row r="250" spans="2:13">
      <c r="B250" s="125">
        <v>46145</v>
      </c>
      <c r="C250" s="16" t="s">
        <v>59</v>
      </c>
      <c r="D250" s="31" t="s">
        <v>609</v>
      </c>
      <c r="E250" s="32" t="s">
        <v>240</v>
      </c>
      <c r="F250" s="13" t="b">
        <v>1</v>
      </c>
      <c r="G250" s="13" t="b">
        <v>1</v>
      </c>
      <c r="H250" s="13" t="b">
        <v>0</v>
      </c>
      <c r="I250" s="13" t="b">
        <v>0</v>
      </c>
      <c r="J250" s="13" t="b">
        <v>0</v>
      </c>
      <c r="K250" s="105">
        <v>28</v>
      </c>
      <c r="L250" s="105">
        <f>(BOHL01[[#This Row],[Column8]]-M250)</f>
        <v>24</v>
      </c>
      <c r="M250" s="105">
        <v>4</v>
      </c>
    </row>
    <row r="251" spans="2:13">
      <c r="B251" s="125">
        <v>46134</v>
      </c>
      <c r="C251" s="16" t="s">
        <v>53</v>
      </c>
      <c r="D251" s="31" t="s">
        <v>610</v>
      </c>
      <c r="E251" s="32" t="s">
        <v>248</v>
      </c>
      <c r="F251" s="13" t="b">
        <v>1</v>
      </c>
      <c r="G251" s="13" t="b">
        <v>0</v>
      </c>
      <c r="H251" s="13" t="b">
        <v>0</v>
      </c>
      <c r="I251" s="13" t="b">
        <v>0</v>
      </c>
      <c r="J251" s="13" t="b">
        <v>0</v>
      </c>
      <c r="K251" s="76">
        <v>53</v>
      </c>
      <c r="L251" s="105">
        <f>(BOHL01[[#This Row],[Column8]]-M251)</f>
        <v>52</v>
      </c>
      <c r="M251" s="76">
        <v>1</v>
      </c>
    </row>
    <row r="252" spans="2:13">
      <c r="B252" s="125">
        <v>46133</v>
      </c>
      <c r="C252" s="16" t="s">
        <v>59</v>
      </c>
      <c r="D252" s="31" t="s">
        <v>611</v>
      </c>
      <c r="E252" s="32" t="s">
        <v>246</v>
      </c>
      <c r="F252" s="13" t="b">
        <v>1</v>
      </c>
      <c r="G252" s="13" t="b">
        <v>0</v>
      </c>
      <c r="H252" s="13" t="b">
        <v>0</v>
      </c>
      <c r="I252" s="13" t="b">
        <v>0</v>
      </c>
      <c r="J252" s="13" t="b">
        <v>0</v>
      </c>
      <c r="K252" s="105">
        <v>37</v>
      </c>
      <c r="L252" s="105">
        <f>(BOHL01[[#This Row],[Column8]]-M252)</f>
        <v>37</v>
      </c>
      <c r="M252" s="105">
        <v>0</v>
      </c>
    </row>
    <row r="253" spans="2:13">
      <c r="B253" s="125"/>
      <c r="C253" s="16"/>
      <c r="D253" s="31" t="s">
        <v>612</v>
      </c>
      <c r="E253" s="32" t="s">
        <v>236</v>
      </c>
      <c r="F253" s="13" t="b">
        <v>0</v>
      </c>
      <c r="G253" s="13" t="b">
        <v>0</v>
      </c>
      <c r="H253" s="13" t="b">
        <v>0</v>
      </c>
      <c r="I253" s="13" t="b">
        <v>0</v>
      </c>
      <c r="J253" s="13" t="b">
        <v>0</v>
      </c>
      <c r="K253" s="76"/>
      <c r="L253" s="105">
        <f>(BOHL01[[#This Row],[Column8]]-M253)</f>
        <v>0</v>
      </c>
      <c r="M253" s="76"/>
    </row>
    <row r="254" spans="2:13">
      <c r="B254" s="125"/>
      <c r="C254" s="16"/>
      <c r="D254" s="31" t="s">
        <v>613</v>
      </c>
      <c r="E254" s="32" t="s">
        <v>238</v>
      </c>
      <c r="F254" s="13" t="b">
        <v>0</v>
      </c>
      <c r="G254" s="13" t="b">
        <v>0</v>
      </c>
      <c r="H254" s="13" t="b">
        <v>0</v>
      </c>
      <c r="I254" s="13" t="b">
        <v>0</v>
      </c>
      <c r="J254" s="13" t="b">
        <v>0</v>
      </c>
      <c r="K254" s="105"/>
      <c r="L254" s="105">
        <f>(BOHL01[[#This Row],[Column8]]-M254)</f>
        <v>0</v>
      </c>
      <c r="M254" s="105"/>
    </row>
    <row r="255" spans="2:13">
      <c r="B255" s="125"/>
      <c r="C255" s="16"/>
      <c r="D255" s="31" t="s">
        <v>614</v>
      </c>
      <c r="E255" s="32" t="s">
        <v>246</v>
      </c>
      <c r="F255" s="13" t="b">
        <v>0</v>
      </c>
      <c r="G255" s="13" t="b">
        <v>0</v>
      </c>
      <c r="H255" s="13" t="b">
        <v>0</v>
      </c>
      <c r="I255" s="13" t="b">
        <v>0</v>
      </c>
      <c r="J255" s="13" t="b">
        <v>0</v>
      </c>
      <c r="K255" s="76"/>
      <c r="L255" s="105">
        <f>(BOHL01[[#This Row],[Column8]]-M255)</f>
        <v>0</v>
      </c>
      <c r="M255" s="76"/>
    </row>
    <row r="256" spans="2:13">
      <c r="B256" s="125"/>
      <c r="C256" s="16"/>
      <c r="D256" s="31" t="s">
        <v>615</v>
      </c>
      <c r="E256" s="32" t="s">
        <v>248</v>
      </c>
      <c r="F256" s="13" t="b">
        <v>0</v>
      </c>
      <c r="G256" s="13" t="b">
        <v>0</v>
      </c>
      <c r="H256" s="13" t="b">
        <v>0</v>
      </c>
      <c r="I256" s="13" t="b">
        <v>0</v>
      </c>
      <c r="J256" s="13" t="b">
        <v>0</v>
      </c>
      <c r="K256" s="105"/>
      <c r="L256" s="105">
        <f>(BOHL01[[#This Row],[Column8]]-M256)</f>
        <v>0</v>
      </c>
      <c r="M256" s="105"/>
    </row>
    <row r="257" spans="2:13">
      <c r="B257" s="125"/>
      <c r="C257" s="16"/>
      <c r="D257" s="31" t="s">
        <v>616</v>
      </c>
      <c r="E257" s="32" t="s">
        <v>231</v>
      </c>
      <c r="F257" s="13" t="b">
        <v>0</v>
      </c>
      <c r="G257" s="13" t="b">
        <v>0</v>
      </c>
      <c r="H257" s="13" t="b">
        <v>0</v>
      </c>
      <c r="I257" s="13" t="b">
        <v>0</v>
      </c>
      <c r="J257" s="13" t="b">
        <v>0</v>
      </c>
      <c r="K257" s="76"/>
      <c r="L257" s="105">
        <f>(BOHL01[[#This Row],[Column8]]-M257)</f>
        <v>0</v>
      </c>
      <c r="M257" s="76"/>
    </row>
    <row r="258" spans="2:13">
      <c r="B258" s="125"/>
      <c r="C258" s="16"/>
      <c r="D258" s="31" t="s">
        <v>617</v>
      </c>
      <c r="E258" s="32" t="s">
        <v>618</v>
      </c>
      <c r="F258" s="13" t="b">
        <v>0</v>
      </c>
      <c r="G258" s="13" t="b">
        <v>0</v>
      </c>
      <c r="H258" s="13" t="b">
        <v>0</v>
      </c>
      <c r="I258" s="13" t="b">
        <v>0</v>
      </c>
      <c r="J258" s="13" t="b">
        <v>0</v>
      </c>
      <c r="K258" s="105"/>
      <c r="L258" s="105">
        <f>(BOHL01[[#This Row],[Column8]]-M258)</f>
        <v>0</v>
      </c>
      <c r="M258" s="105"/>
    </row>
    <row r="259" spans="2:13">
      <c r="B259" s="125"/>
      <c r="C259" s="16"/>
      <c r="D259" s="31" t="s">
        <v>619</v>
      </c>
      <c r="E259" s="32" t="s">
        <v>242</v>
      </c>
      <c r="F259" s="13" t="b">
        <v>0</v>
      </c>
      <c r="G259" s="13" t="b">
        <v>0</v>
      </c>
      <c r="H259" s="13" t="b">
        <v>0</v>
      </c>
      <c r="I259" s="13" t="b">
        <v>0</v>
      </c>
      <c r="J259" s="13" t="b">
        <v>0</v>
      </c>
      <c r="K259" s="76"/>
      <c r="L259" s="105">
        <f>(BOHL01[[#This Row],[Column8]]-M259)</f>
        <v>0</v>
      </c>
      <c r="M259" s="76"/>
    </row>
    <row r="260" spans="2:13" ht="24">
      <c r="B260" s="125"/>
      <c r="C260" s="16"/>
      <c r="D260" s="31" t="s">
        <v>620</v>
      </c>
      <c r="E260" s="32" t="s">
        <v>360</v>
      </c>
      <c r="F260" s="13" t="b">
        <v>0</v>
      </c>
      <c r="G260" s="13" t="b">
        <v>0</v>
      </c>
      <c r="H260" s="13" t="b">
        <v>0</v>
      </c>
      <c r="I260" s="13" t="b">
        <v>0</v>
      </c>
      <c r="J260" s="13" t="b">
        <v>0</v>
      </c>
      <c r="K260" s="105"/>
      <c r="L260" s="105">
        <f>(BOHL01[[#This Row],[Column8]]-M260)</f>
        <v>0</v>
      </c>
      <c r="M260" s="105"/>
    </row>
    <row r="261" spans="2:13" ht="24">
      <c r="B261" s="125"/>
      <c r="C261" s="16"/>
      <c r="D261" s="31" t="s">
        <v>621</v>
      </c>
      <c r="E261" s="32" t="s">
        <v>360</v>
      </c>
      <c r="F261" s="13" t="b">
        <v>0</v>
      </c>
      <c r="G261" s="13" t="b">
        <v>0</v>
      </c>
      <c r="H261" s="13" t="b">
        <v>0</v>
      </c>
      <c r="I261" s="13" t="b">
        <v>0</v>
      </c>
      <c r="J261" s="13" t="b">
        <v>0</v>
      </c>
      <c r="K261" s="76"/>
      <c r="L261" s="105">
        <f>(BOHL01[[#This Row],[Column8]]-M261)</f>
        <v>0</v>
      </c>
      <c r="M261" s="76"/>
    </row>
    <row r="262" spans="2:13">
      <c r="B262" s="125"/>
      <c r="C262" s="16"/>
      <c r="D262" s="31" t="s">
        <v>622</v>
      </c>
      <c r="E262" s="32" t="s">
        <v>623</v>
      </c>
      <c r="F262" s="13" t="b">
        <v>0</v>
      </c>
      <c r="G262" s="13" t="b">
        <v>0</v>
      </c>
      <c r="H262" s="13" t="b">
        <v>0</v>
      </c>
      <c r="I262" s="13" t="b">
        <v>0</v>
      </c>
      <c r="J262" s="13" t="b">
        <v>0</v>
      </c>
      <c r="K262" s="105"/>
      <c r="L262" s="105">
        <f>(BOHL01[[#This Row],[Column8]]-M262)</f>
        <v>0</v>
      </c>
      <c r="M262" s="105"/>
    </row>
    <row r="263" spans="2:13">
      <c r="B263" s="125"/>
      <c r="C263" s="16"/>
      <c r="D263" s="31" t="s">
        <v>624</v>
      </c>
      <c r="E263" s="32" t="s">
        <v>246</v>
      </c>
      <c r="F263" s="13" t="b">
        <v>0</v>
      </c>
      <c r="G263" s="13" t="b">
        <v>0</v>
      </c>
      <c r="H263" s="13" t="b">
        <v>0</v>
      </c>
      <c r="I263" s="13" t="b">
        <v>0</v>
      </c>
      <c r="J263" s="13" t="b">
        <v>0</v>
      </c>
      <c r="K263" s="76"/>
      <c r="L263" s="105">
        <f>(BOHL01[[#This Row],[Column8]]-M263)</f>
        <v>0</v>
      </c>
      <c r="M263" s="76"/>
    </row>
    <row r="264" spans="2:13">
      <c r="B264" s="125"/>
      <c r="C264" s="16"/>
      <c r="D264" s="31" t="s">
        <v>625</v>
      </c>
      <c r="E264" s="32" t="s">
        <v>248</v>
      </c>
      <c r="F264" s="13" t="b">
        <v>0</v>
      </c>
      <c r="G264" s="13" t="b">
        <v>0</v>
      </c>
      <c r="H264" s="13" t="b">
        <v>0</v>
      </c>
      <c r="I264" s="13" t="b">
        <v>0</v>
      </c>
      <c r="J264" s="13" t="b">
        <v>0</v>
      </c>
      <c r="K264" s="105"/>
      <c r="L264" s="105">
        <f>(BOHL01[[#This Row],[Column8]]-M264)</f>
        <v>0</v>
      </c>
      <c r="M264" s="105"/>
    </row>
    <row r="265" spans="2:13" ht="24">
      <c r="B265" s="125"/>
      <c r="C265" s="16"/>
      <c r="D265" s="31" t="s">
        <v>626</v>
      </c>
      <c r="E265" s="32" t="s">
        <v>627</v>
      </c>
      <c r="F265" s="13" t="b">
        <v>0</v>
      </c>
      <c r="G265" s="13" t="b">
        <v>0</v>
      </c>
      <c r="H265" s="13" t="b">
        <v>0</v>
      </c>
      <c r="I265" s="13" t="b">
        <v>0</v>
      </c>
      <c r="J265" s="13" t="b">
        <v>0</v>
      </c>
      <c r="K265" s="76"/>
      <c r="L265" s="105">
        <f>(BOHL01[[#This Row],[Column8]]-M265)</f>
        <v>0</v>
      </c>
      <c r="M265" s="76"/>
    </row>
    <row r="266" spans="2:13">
      <c r="B266" s="125"/>
      <c r="C266" s="16"/>
      <c r="D266" s="31" t="s">
        <v>628</v>
      </c>
      <c r="E266" s="32" t="s">
        <v>231</v>
      </c>
      <c r="F266" s="13" t="b">
        <v>0</v>
      </c>
      <c r="G266" s="13" t="b">
        <v>0</v>
      </c>
      <c r="H266" s="13" t="b">
        <v>0</v>
      </c>
      <c r="I266" s="13" t="b">
        <v>0</v>
      </c>
      <c r="J266" s="13" t="b">
        <v>0</v>
      </c>
      <c r="K266" s="105"/>
      <c r="L266" s="105">
        <f>(BOHL01[[#This Row],[Column8]]-M266)</f>
        <v>0</v>
      </c>
      <c r="M266" s="105"/>
    </row>
    <row r="267" spans="2:13">
      <c r="B267" s="125"/>
      <c r="C267" s="16"/>
      <c r="D267" s="31" t="s">
        <v>629</v>
      </c>
      <c r="E267" s="32" t="s">
        <v>623</v>
      </c>
      <c r="F267" s="13" t="b">
        <v>0</v>
      </c>
      <c r="G267" s="13" t="b">
        <v>0</v>
      </c>
      <c r="H267" s="13" t="b">
        <v>0</v>
      </c>
      <c r="I267" s="13" t="b">
        <v>0</v>
      </c>
      <c r="J267" s="13" t="b">
        <v>0</v>
      </c>
      <c r="K267" s="76"/>
      <c r="L267" s="105">
        <f>(BOHL01[[#This Row],[Column8]]-M267)</f>
        <v>0</v>
      </c>
      <c r="M267" s="76"/>
    </row>
    <row r="268" spans="2:13" ht="24">
      <c r="B268" s="125"/>
      <c r="C268" s="16"/>
      <c r="D268" s="31" t="s">
        <v>630</v>
      </c>
      <c r="E268" s="32" t="s">
        <v>360</v>
      </c>
      <c r="F268" s="13" t="b">
        <v>0</v>
      </c>
      <c r="G268" s="13" t="b">
        <v>0</v>
      </c>
      <c r="H268" s="13" t="b">
        <v>0</v>
      </c>
      <c r="I268" s="13" t="b">
        <v>0</v>
      </c>
      <c r="J268" s="13" t="b">
        <v>0</v>
      </c>
      <c r="K268" s="105"/>
      <c r="L268" s="105">
        <f>(BOHL01[[#This Row],[Column8]]-M268)</f>
        <v>0</v>
      </c>
      <c r="M268" s="105"/>
    </row>
    <row r="269" spans="2:13" ht="24">
      <c r="B269" s="125"/>
      <c r="C269" s="16"/>
      <c r="D269" s="31" t="s">
        <v>631</v>
      </c>
      <c r="E269" s="32" t="s">
        <v>360</v>
      </c>
      <c r="F269" s="13" t="b">
        <v>0</v>
      </c>
      <c r="G269" s="13" t="b">
        <v>0</v>
      </c>
      <c r="H269" s="13" t="b">
        <v>0</v>
      </c>
      <c r="I269" s="13" t="b">
        <v>0</v>
      </c>
      <c r="J269" s="13" t="b">
        <v>0</v>
      </c>
      <c r="K269" s="76"/>
      <c r="L269" s="105">
        <f>(BOHL01[[#This Row],[Column8]]-M269)</f>
        <v>0</v>
      </c>
      <c r="M269" s="76"/>
    </row>
    <row r="270" spans="2:13">
      <c r="B270" s="125"/>
      <c r="C270" s="16"/>
      <c r="D270" s="206" t="s">
        <v>632</v>
      </c>
      <c r="E270" s="32" t="s">
        <v>242</v>
      </c>
      <c r="F270" s="13" t="b">
        <v>0</v>
      </c>
      <c r="G270" s="13" t="b">
        <v>0</v>
      </c>
      <c r="H270" s="13" t="b">
        <v>0</v>
      </c>
      <c r="I270" s="13" t="b">
        <v>0</v>
      </c>
      <c r="J270" s="13" t="b">
        <v>0</v>
      </c>
      <c r="K270" s="105"/>
      <c r="L270" s="105">
        <f>(BOHL01[[#This Row],[Column8]]-M270)</f>
        <v>0</v>
      </c>
      <c r="M270" s="105"/>
    </row>
    <row r="271" spans="2:13">
      <c r="B271" s="125">
        <v>46133</v>
      </c>
      <c r="C271" s="16" t="s">
        <v>975</v>
      </c>
      <c r="D271" s="31" t="s">
        <v>633</v>
      </c>
      <c r="E271" s="32" t="s">
        <v>231</v>
      </c>
      <c r="F271" s="13" t="b">
        <v>1</v>
      </c>
      <c r="G271" s="13" t="b">
        <v>0</v>
      </c>
      <c r="H271" s="13" t="b">
        <v>0</v>
      </c>
      <c r="I271" s="13" t="b">
        <v>0</v>
      </c>
      <c r="J271" s="13" t="b">
        <v>0</v>
      </c>
      <c r="K271" s="76">
        <v>17</v>
      </c>
      <c r="L271" s="105">
        <f>(BOHL01[[#This Row],[Column8]]-M271)</f>
        <v>17</v>
      </c>
      <c r="M271" s="76">
        <v>0</v>
      </c>
    </row>
    <row r="272" spans="2:13">
      <c r="B272" s="125"/>
      <c r="C272" s="16"/>
      <c r="D272" s="206" t="s">
        <v>634</v>
      </c>
      <c r="E272" s="32" t="s">
        <v>399</v>
      </c>
      <c r="F272" s="13" t="b">
        <v>0</v>
      </c>
      <c r="G272" s="13" t="b">
        <v>0</v>
      </c>
      <c r="H272" s="13" t="b">
        <v>0</v>
      </c>
      <c r="I272" s="13" t="b">
        <v>0</v>
      </c>
      <c r="J272" s="13" t="b">
        <v>0</v>
      </c>
      <c r="K272" s="105"/>
      <c r="L272" s="105">
        <f>(BOHL01[[#This Row],[Column8]]-M272)</f>
        <v>0</v>
      </c>
      <c r="M272" s="105"/>
    </row>
    <row r="273" spans="2:13" ht="36">
      <c r="B273" s="125"/>
      <c r="C273" s="16"/>
      <c r="D273" s="31" t="s">
        <v>635</v>
      </c>
      <c r="E273" s="32" t="s">
        <v>636</v>
      </c>
      <c r="F273" s="13" t="b">
        <v>0</v>
      </c>
      <c r="G273" s="13" t="b">
        <v>0</v>
      </c>
      <c r="H273" s="13" t="b">
        <v>0</v>
      </c>
      <c r="I273" s="13" t="b">
        <v>0</v>
      </c>
      <c r="J273" s="13" t="b">
        <v>0</v>
      </c>
      <c r="K273" s="76"/>
      <c r="L273" s="105">
        <f>(BOHL01[[#This Row],[Column8]]-M273)</f>
        <v>0</v>
      </c>
      <c r="M273" s="76"/>
    </row>
    <row r="274" spans="2:13">
      <c r="B274" s="125"/>
      <c r="C274" s="16"/>
      <c r="D274" s="31" t="s">
        <v>637</v>
      </c>
      <c r="E274" s="32" t="s">
        <v>623</v>
      </c>
      <c r="F274" s="13" t="b">
        <v>0</v>
      </c>
      <c r="G274" s="13" t="b">
        <v>0</v>
      </c>
      <c r="H274" s="13" t="b">
        <v>0</v>
      </c>
      <c r="I274" s="13" t="b">
        <v>0</v>
      </c>
      <c r="J274" s="13" t="b">
        <v>0</v>
      </c>
      <c r="K274" s="105"/>
      <c r="L274" s="105">
        <f>(BOHL01[[#This Row],[Column8]]-M274)</f>
        <v>0</v>
      </c>
      <c r="M274" s="105"/>
    </row>
    <row r="275" spans="2:13">
      <c r="B275" s="125"/>
      <c r="C275" s="16"/>
      <c r="D275" s="268" t="s">
        <v>890</v>
      </c>
      <c r="E275" s="32" t="s">
        <v>679</v>
      </c>
      <c r="F275" s="13" t="b">
        <v>0</v>
      </c>
      <c r="G275" s="13" t="b">
        <v>0</v>
      </c>
      <c r="H275" s="13" t="b">
        <v>0</v>
      </c>
      <c r="I275" s="13" t="b">
        <v>0</v>
      </c>
      <c r="J275" s="13" t="b">
        <v>0</v>
      </c>
      <c r="K275" s="12"/>
      <c r="L275" s="105">
        <f>(BOHL01[[#This Row],[Column8]]-M275)</f>
        <v>0</v>
      </c>
      <c r="M275" s="28"/>
    </row>
    <row r="276" spans="2:13">
      <c r="B276" s="125"/>
      <c r="C276" s="16"/>
      <c r="D276" s="31" t="s">
        <v>638</v>
      </c>
      <c r="E276" s="32" t="s">
        <v>399</v>
      </c>
      <c r="F276" s="13" t="b">
        <v>0</v>
      </c>
      <c r="G276" s="13" t="b">
        <v>0</v>
      </c>
      <c r="H276" s="13" t="b">
        <v>0</v>
      </c>
      <c r="I276" s="13" t="b">
        <v>0</v>
      </c>
      <c r="J276" s="13" t="b">
        <v>0</v>
      </c>
      <c r="K276" s="76"/>
      <c r="L276" s="105">
        <f>(BOHL01[[#This Row],[Column8]]-M276)</f>
        <v>0</v>
      </c>
      <c r="M276" s="76"/>
    </row>
    <row r="277" spans="2:13">
      <c r="B277" s="125"/>
      <c r="C277" s="16"/>
      <c r="D277" s="31" t="s">
        <v>639</v>
      </c>
      <c r="E277" s="32" t="s">
        <v>640</v>
      </c>
      <c r="F277" s="13" t="b">
        <v>0</v>
      </c>
      <c r="G277" s="13" t="b">
        <v>0</v>
      </c>
      <c r="H277" s="13" t="b">
        <v>0</v>
      </c>
      <c r="I277" s="13" t="b">
        <v>0</v>
      </c>
      <c r="J277" s="13" t="b">
        <v>0</v>
      </c>
      <c r="K277" s="105"/>
      <c r="L277" s="105">
        <f>(BOHL01[[#This Row],[Column8]]-M277)</f>
        <v>0</v>
      </c>
      <c r="M277" s="105"/>
    </row>
    <row r="278" spans="2:13" ht="24">
      <c r="B278" s="125"/>
      <c r="C278" s="16"/>
      <c r="D278" s="31" t="s">
        <v>641</v>
      </c>
      <c r="E278" s="32" t="s">
        <v>642</v>
      </c>
      <c r="F278" s="13" t="b">
        <v>0</v>
      </c>
      <c r="G278" s="13" t="b">
        <v>0</v>
      </c>
      <c r="H278" s="13" t="b">
        <v>0</v>
      </c>
      <c r="I278" s="13" t="b">
        <v>0</v>
      </c>
      <c r="J278" s="13" t="b">
        <v>0</v>
      </c>
      <c r="K278" s="76"/>
      <c r="L278" s="105">
        <f>(BOHL01[[#This Row],[Column8]]-M278)</f>
        <v>0</v>
      </c>
      <c r="M278" s="76"/>
    </row>
    <row r="279" spans="2:13">
      <c r="B279" s="125">
        <v>46133</v>
      </c>
      <c r="C279" s="16" t="s">
        <v>72</v>
      </c>
      <c r="D279" s="31" t="s">
        <v>643</v>
      </c>
      <c r="E279" s="32" t="s">
        <v>644</v>
      </c>
      <c r="F279" s="13" t="b">
        <v>1</v>
      </c>
      <c r="G279" s="13" t="b">
        <v>0</v>
      </c>
      <c r="H279" s="13" t="b">
        <v>0</v>
      </c>
      <c r="I279" s="13" t="b">
        <v>0</v>
      </c>
      <c r="J279" s="13" t="b">
        <v>0</v>
      </c>
      <c r="K279" s="105">
        <v>6</v>
      </c>
      <c r="L279" s="105">
        <f>(BOHL01[[#This Row],[Column8]]-M279)</f>
        <v>6</v>
      </c>
      <c r="M279" s="105"/>
    </row>
    <row r="280" spans="2:13">
      <c r="B280" s="125">
        <v>46133</v>
      </c>
      <c r="C280" s="16" t="s">
        <v>72</v>
      </c>
      <c r="D280" s="31" t="s">
        <v>645</v>
      </c>
      <c r="E280" s="32" t="s">
        <v>71</v>
      </c>
      <c r="F280" s="13" t="b">
        <v>1</v>
      </c>
      <c r="G280" s="13" t="b">
        <v>0</v>
      </c>
      <c r="H280" s="13" t="b">
        <v>0</v>
      </c>
      <c r="I280" s="13" t="b">
        <v>0</v>
      </c>
      <c r="J280" s="13" t="b">
        <v>0</v>
      </c>
      <c r="K280" s="76">
        <v>5</v>
      </c>
      <c r="L280" s="105">
        <f>(BOHL01[[#This Row],[Column8]]-M280)</f>
        <v>5</v>
      </c>
      <c r="M280" s="76"/>
    </row>
    <row r="281" spans="2:13">
      <c r="B281" s="125"/>
      <c r="C281" s="16"/>
      <c r="D281" s="111" t="s">
        <v>646</v>
      </c>
      <c r="E281" s="32" t="s">
        <v>618</v>
      </c>
      <c r="F281" s="13" t="b">
        <v>0</v>
      </c>
      <c r="G281" s="13" t="b">
        <v>0</v>
      </c>
      <c r="H281" s="13" t="b">
        <v>0</v>
      </c>
      <c r="I281" s="13" t="b">
        <v>0</v>
      </c>
      <c r="J281" s="13" t="b">
        <v>0</v>
      </c>
      <c r="K281" s="105"/>
      <c r="L281" s="105">
        <f>(BOHL01[[#This Row],[Column8]]-M281)</f>
        <v>0</v>
      </c>
      <c r="M281" s="105"/>
    </row>
    <row r="282" spans="2:13">
      <c r="B282" s="125"/>
      <c r="C282" s="16"/>
      <c r="D282" s="111" t="s">
        <v>647</v>
      </c>
      <c r="E282" s="32" t="s">
        <v>640</v>
      </c>
      <c r="F282" s="13" t="b">
        <v>0</v>
      </c>
      <c r="G282" s="13" t="b">
        <v>0</v>
      </c>
      <c r="H282" s="13" t="b">
        <v>0</v>
      </c>
      <c r="I282" s="13" t="b">
        <v>0</v>
      </c>
      <c r="J282" s="13" t="b">
        <v>0</v>
      </c>
      <c r="K282" s="76"/>
      <c r="L282" s="105">
        <f>(BOHL01[[#This Row],[Column8]]-M282)</f>
        <v>0</v>
      </c>
      <c r="M282" s="76"/>
    </row>
    <row r="283" spans="2:13" ht="24">
      <c r="B283" s="125">
        <v>46133</v>
      </c>
      <c r="C283" s="16" t="s">
        <v>976</v>
      </c>
      <c r="D283" s="31" t="s">
        <v>648</v>
      </c>
      <c r="E283" s="32" t="s">
        <v>642</v>
      </c>
      <c r="F283" s="13" t="b">
        <v>1</v>
      </c>
      <c r="G283" s="13" t="b">
        <v>0</v>
      </c>
      <c r="H283" s="13" t="b">
        <v>0</v>
      </c>
      <c r="I283" s="13" t="b">
        <v>0</v>
      </c>
      <c r="J283" s="13" t="b">
        <v>0</v>
      </c>
      <c r="K283" s="105">
        <v>8</v>
      </c>
      <c r="L283" s="105">
        <f>(BOHL01[[#This Row],[Column8]]-M283)</f>
        <v>8</v>
      </c>
      <c r="M283" s="105">
        <v>0</v>
      </c>
    </row>
    <row r="284" spans="2:13">
      <c r="B284" s="125"/>
      <c r="C284" s="16"/>
      <c r="D284" s="31" t="s">
        <v>649</v>
      </c>
      <c r="E284" s="32" t="s">
        <v>650</v>
      </c>
      <c r="F284" s="13" t="b">
        <v>0</v>
      </c>
      <c r="G284" s="13" t="b">
        <v>0</v>
      </c>
      <c r="H284" s="13" t="b">
        <v>0</v>
      </c>
      <c r="I284" s="13" t="b">
        <v>0</v>
      </c>
      <c r="J284" s="13" t="b">
        <v>0</v>
      </c>
      <c r="K284" s="76"/>
      <c r="L284" s="105">
        <f>(BOHL01[[#This Row],[Column8]]-M284)</f>
        <v>0</v>
      </c>
      <c r="M284" s="76"/>
    </row>
    <row r="285" spans="2:13" ht="24">
      <c r="B285" s="125"/>
      <c r="C285" s="16"/>
      <c r="D285" s="31" t="s">
        <v>651</v>
      </c>
      <c r="E285" s="32" t="s">
        <v>642</v>
      </c>
      <c r="F285" s="13" t="b">
        <v>0</v>
      </c>
      <c r="G285" s="13" t="b">
        <v>0</v>
      </c>
      <c r="H285" s="13" t="b">
        <v>0</v>
      </c>
      <c r="I285" s="13" t="b">
        <v>0</v>
      </c>
      <c r="J285" s="13" t="b">
        <v>0</v>
      </c>
      <c r="K285" s="105"/>
      <c r="L285" s="105">
        <f>(BOHL01[[#This Row],[Column8]]-M285)</f>
        <v>0</v>
      </c>
      <c r="M285" s="105"/>
    </row>
    <row r="286" spans="2:13">
      <c r="B286" s="125"/>
      <c r="C286" s="16"/>
      <c r="D286" s="31" t="s">
        <v>652</v>
      </c>
      <c r="E286" s="32" t="s">
        <v>640</v>
      </c>
      <c r="F286" s="13" t="b">
        <v>0</v>
      </c>
      <c r="G286" s="13" t="b">
        <v>0</v>
      </c>
      <c r="H286" s="13" t="b">
        <v>0</v>
      </c>
      <c r="I286" s="13" t="b">
        <v>0</v>
      </c>
      <c r="J286" s="13" t="b">
        <v>0</v>
      </c>
      <c r="K286" s="76"/>
      <c r="L286" s="105">
        <f>(BOHL01[[#This Row],[Column8]]-M286)</f>
        <v>0</v>
      </c>
      <c r="M286" s="76"/>
    </row>
    <row r="287" spans="2:13">
      <c r="B287" s="125"/>
      <c r="C287" s="16"/>
      <c r="D287" s="31" t="s">
        <v>653</v>
      </c>
      <c r="E287" s="32" t="s">
        <v>618</v>
      </c>
      <c r="F287" s="13" t="b">
        <v>0</v>
      </c>
      <c r="G287" s="13" t="b">
        <v>0</v>
      </c>
      <c r="H287" s="13" t="b">
        <v>0</v>
      </c>
      <c r="I287" s="13" t="b">
        <v>0</v>
      </c>
      <c r="J287" s="13" t="b">
        <v>0</v>
      </c>
      <c r="K287" s="105"/>
      <c r="L287" s="105">
        <f>(BOHL01[[#This Row],[Column8]]-M287)</f>
        <v>0</v>
      </c>
      <c r="M287" s="105"/>
    </row>
    <row r="288" spans="2:13" ht="24">
      <c r="B288" s="125"/>
      <c r="C288" s="16"/>
      <c r="D288" s="31" t="s">
        <v>654</v>
      </c>
      <c r="E288" s="32" t="s">
        <v>655</v>
      </c>
      <c r="F288" s="13" t="b">
        <v>0</v>
      </c>
      <c r="G288" s="13" t="b">
        <v>0</v>
      </c>
      <c r="H288" s="13" t="b">
        <v>0</v>
      </c>
      <c r="I288" s="13" t="b">
        <v>0</v>
      </c>
      <c r="J288" s="13" t="b">
        <v>0</v>
      </c>
      <c r="K288" s="76"/>
      <c r="L288" s="105">
        <f>(BOHL01[[#This Row],[Column8]]-M288)</f>
        <v>0</v>
      </c>
      <c r="M288" s="76"/>
    </row>
    <row r="289" spans="2:13">
      <c r="B289" s="125"/>
      <c r="C289" s="16"/>
      <c r="D289" s="31" t="s">
        <v>656</v>
      </c>
      <c r="E289" s="32" t="s">
        <v>601</v>
      </c>
      <c r="F289" s="13" t="b">
        <v>0</v>
      </c>
      <c r="G289" s="13" t="b">
        <v>0</v>
      </c>
      <c r="H289" s="13" t="b">
        <v>0</v>
      </c>
      <c r="I289" s="13" t="b">
        <v>0</v>
      </c>
      <c r="J289" s="13" t="b">
        <v>0</v>
      </c>
      <c r="K289" s="105"/>
      <c r="L289" s="105">
        <f>(BOHL01[[#This Row],[Column8]]-M289)</f>
        <v>0</v>
      </c>
      <c r="M289" s="105"/>
    </row>
    <row r="290" spans="2:13">
      <c r="B290" s="125"/>
      <c r="C290" s="16"/>
      <c r="D290" s="31" t="s">
        <v>657</v>
      </c>
      <c r="E290" s="32" t="s">
        <v>601</v>
      </c>
      <c r="F290" s="13" t="b">
        <v>0</v>
      </c>
      <c r="G290" s="13" t="b">
        <v>0</v>
      </c>
      <c r="H290" s="13" t="b">
        <v>0</v>
      </c>
      <c r="I290" s="13" t="b">
        <v>0</v>
      </c>
      <c r="J290" s="13" t="b">
        <v>0</v>
      </c>
      <c r="K290" s="76"/>
      <c r="L290" s="105">
        <f>(BOHL01[[#This Row],[Column8]]-M290)</f>
        <v>0</v>
      </c>
      <c r="M290" s="76"/>
    </row>
    <row r="291" spans="2:13">
      <c r="B291" s="125"/>
      <c r="C291" s="16"/>
      <c r="D291" s="31" t="s">
        <v>658</v>
      </c>
      <c r="E291" s="32" t="s">
        <v>601</v>
      </c>
      <c r="F291" s="13" t="b">
        <v>0</v>
      </c>
      <c r="G291" s="13" t="b">
        <v>0</v>
      </c>
      <c r="H291" s="13" t="b">
        <v>0</v>
      </c>
      <c r="I291" s="13" t="b">
        <v>0</v>
      </c>
      <c r="J291" s="13" t="b">
        <v>0</v>
      </c>
      <c r="K291" s="105"/>
      <c r="L291" s="105">
        <f>(BOHL01[[#This Row],[Column8]]-M291)</f>
        <v>0</v>
      </c>
      <c r="M291" s="105"/>
    </row>
    <row r="292" spans="2:13">
      <c r="B292" s="125">
        <v>46070</v>
      </c>
      <c r="C292" s="16" t="s">
        <v>91</v>
      </c>
      <c r="D292" s="270" t="s">
        <v>659</v>
      </c>
      <c r="E292" s="32" t="s">
        <v>272</v>
      </c>
      <c r="F292" s="269" t="b">
        <v>1</v>
      </c>
      <c r="G292" s="13" t="b">
        <v>0</v>
      </c>
      <c r="H292" s="13" t="b">
        <v>0</v>
      </c>
      <c r="I292" s="13" t="b">
        <v>0</v>
      </c>
      <c r="J292" s="13" t="b">
        <v>0</v>
      </c>
      <c r="K292" s="76">
        <v>2</v>
      </c>
      <c r="L292" s="105">
        <f>(BOHL01[[#This Row],[Column8]]-M292)</f>
        <v>0</v>
      </c>
      <c r="M292" s="76">
        <v>2</v>
      </c>
    </row>
    <row r="293" spans="2:13" ht="24">
      <c r="B293" s="125"/>
      <c r="C293" s="16"/>
      <c r="D293" s="206" t="s">
        <v>660</v>
      </c>
      <c r="E293" s="32" t="s">
        <v>661</v>
      </c>
      <c r="F293" s="13" t="b">
        <v>0</v>
      </c>
      <c r="G293" s="13" t="b">
        <v>0</v>
      </c>
      <c r="H293" s="13" t="b">
        <v>0</v>
      </c>
      <c r="I293" s="13" t="b">
        <v>0</v>
      </c>
      <c r="J293" s="13" t="b">
        <v>0</v>
      </c>
      <c r="K293" s="105"/>
      <c r="L293" s="105">
        <f>(BOHL01[[#This Row],[Column8]]-M293)</f>
        <v>0</v>
      </c>
      <c r="M293" s="105"/>
    </row>
    <row r="294" spans="2:13">
      <c r="B294" s="125">
        <v>46121</v>
      </c>
      <c r="C294" s="16" t="s">
        <v>75</v>
      </c>
      <c r="D294" s="31" t="s">
        <v>662</v>
      </c>
      <c r="E294" s="32" t="s">
        <v>242</v>
      </c>
      <c r="F294" s="13" t="b">
        <v>1</v>
      </c>
      <c r="G294" s="13" t="b">
        <v>0</v>
      </c>
      <c r="H294" s="13" t="b">
        <v>0</v>
      </c>
      <c r="I294" s="13" t="b">
        <v>0</v>
      </c>
      <c r="J294" s="13" t="b">
        <v>0</v>
      </c>
      <c r="K294" s="76">
        <v>42</v>
      </c>
      <c r="L294" s="105">
        <f>(BOHL01[[#This Row],[Column8]]-M294)</f>
        <v>42</v>
      </c>
      <c r="M294" s="76">
        <v>0</v>
      </c>
    </row>
    <row r="295" spans="2:13">
      <c r="B295" s="125">
        <v>46121</v>
      </c>
      <c r="C295" s="16" t="s">
        <v>62</v>
      </c>
      <c r="D295" s="31" t="s">
        <v>663</v>
      </c>
      <c r="E295" s="32" t="s">
        <v>242</v>
      </c>
      <c r="F295" s="13" t="b">
        <v>1</v>
      </c>
      <c r="G295" s="13" t="b">
        <v>0</v>
      </c>
      <c r="H295" s="13" t="b">
        <v>0</v>
      </c>
      <c r="I295" s="13" t="b">
        <v>0</v>
      </c>
      <c r="J295" s="13" t="b">
        <v>0</v>
      </c>
      <c r="K295" s="105">
        <v>25</v>
      </c>
      <c r="L295" s="105">
        <f>(BOHL01[[#This Row],[Column8]]-M295)</f>
        <v>25</v>
      </c>
      <c r="M295" s="105">
        <v>0</v>
      </c>
    </row>
    <row r="296" spans="2:13">
      <c r="B296" s="125"/>
      <c r="C296" s="16"/>
      <c r="D296" s="31" t="s">
        <v>664</v>
      </c>
      <c r="E296" s="32" t="s">
        <v>242</v>
      </c>
      <c r="F296" s="13" t="b">
        <v>0</v>
      </c>
      <c r="G296" s="13" t="b">
        <v>0</v>
      </c>
      <c r="H296" s="13" t="b">
        <v>0</v>
      </c>
      <c r="I296" s="13" t="b">
        <v>0</v>
      </c>
      <c r="J296" s="13" t="b">
        <v>0</v>
      </c>
      <c r="K296" s="76"/>
      <c r="L296" s="105">
        <f>(BOHL01[[#This Row],[Column8]]-M296)</f>
        <v>0</v>
      </c>
      <c r="M296" s="76"/>
    </row>
    <row r="297" spans="2:13" ht="24">
      <c r="B297" s="125">
        <v>46133</v>
      </c>
      <c r="C297" s="16" t="s">
        <v>973</v>
      </c>
      <c r="D297" s="31" t="s">
        <v>665</v>
      </c>
      <c r="E297" s="32" t="s">
        <v>666</v>
      </c>
      <c r="F297" s="13" t="b">
        <v>1</v>
      </c>
      <c r="G297" s="13" t="b">
        <v>1</v>
      </c>
      <c r="H297" s="13" t="b">
        <v>0</v>
      </c>
      <c r="I297" s="13" t="b">
        <v>0</v>
      </c>
      <c r="J297" s="13" t="b">
        <v>0</v>
      </c>
      <c r="K297" s="105">
        <v>20</v>
      </c>
      <c r="L297" s="105">
        <f>(BOHL01[[#This Row],[Column8]]-M297)</f>
        <v>1</v>
      </c>
      <c r="M297" s="105">
        <v>19</v>
      </c>
    </row>
    <row r="298" spans="2:13">
      <c r="B298" s="125"/>
      <c r="C298" s="16"/>
      <c r="D298" s="31" t="s">
        <v>667</v>
      </c>
      <c r="E298" s="32" t="s">
        <v>242</v>
      </c>
      <c r="F298" s="13" t="b">
        <v>0</v>
      </c>
      <c r="G298" s="13" t="b">
        <v>0</v>
      </c>
      <c r="H298" s="13" t="b">
        <v>0</v>
      </c>
      <c r="I298" s="13" t="b">
        <v>0</v>
      </c>
      <c r="J298" s="13" t="b">
        <v>0</v>
      </c>
      <c r="K298" s="76"/>
      <c r="L298" s="105">
        <f>(BOHL01[[#This Row],[Column8]]-M298)</f>
        <v>0</v>
      </c>
      <c r="M298" s="76"/>
    </row>
    <row r="299" spans="2:13">
      <c r="B299" s="125">
        <v>46124</v>
      </c>
      <c r="C299" s="16" t="s">
        <v>226</v>
      </c>
      <c r="D299" s="30" t="s">
        <v>668</v>
      </c>
      <c r="E299" s="29" t="s">
        <v>58</v>
      </c>
      <c r="F299" s="13" t="b">
        <v>1</v>
      </c>
      <c r="G299" s="13" t="b">
        <v>0</v>
      </c>
      <c r="H299" s="13" t="b">
        <v>0</v>
      </c>
      <c r="I299" s="13" t="b">
        <v>0</v>
      </c>
      <c r="J299" s="13" t="b">
        <v>0</v>
      </c>
      <c r="K299" s="105">
        <v>6</v>
      </c>
      <c r="L299" s="105">
        <f>(BOHL01[[#This Row],[Column8]]-M299)</f>
        <v>6</v>
      </c>
      <c r="M299" s="105">
        <v>0</v>
      </c>
    </row>
    <row r="300" spans="2:13">
      <c r="B300" s="125"/>
      <c r="C300" s="16"/>
      <c r="D300" s="31" t="s">
        <v>669</v>
      </c>
      <c r="E300" s="32" t="s">
        <v>242</v>
      </c>
      <c r="F300" s="13" t="b">
        <v>0</v>
      </c>
      <c r="G300" s="13" t="b">
        <v>0</v>
      </c>
      <c r="H300" s="13" t="b">
        <v>0</v>
      </c>
      <c r="I300" s="13" t="b">
        <v>0</v>
      </c>
      <c r="J300" s="13" t="b">
        <v>0</v>
      </c>
      <c r="K300" s="76"/>
      <c r="L300" s="105">
        <f>(BOHL01[[#This Row],[Column8]]-M300)</f>
        <v>0</v>
      </c>
      <c r="M300" s="76"/>
    </row>
    <row r="301" spans="2:13">
      <c r="B301" s="125"/>
      <c r="C301" s="16"/>
      <c r="D301" s="31" t="s">
        <v>670</v>
      </c>
      <c r="E301" s="32" t="s">
        <v>242</v>
      </c>
      <c r="F301" s="13" t="b">
        <v>0</v>
      </c>
      <c r="G301" s="13" t="b">
        <v>0</v>
      </c>
      <c r="H301" s="13" t="b">
        <v>0</v>
      </c>
      <c r="I301" s="13" t="b">
        <v>0</v>
      </c>
      <c r="J301" s="13" t="b">
        <v>0</v>
      </c>
      <c r="K301" s="105"/>
      <c r="L301" s="105">
        <f>(BOHL01[[#This Row],[Column8]]-M301)</f>
        <v>0</v>
      </c>
      <c r="M301" s="105"/>
    </row>
    <row r="302" spans="2:13">
      <c r="B302" s="125">
        <v>46042</v>
      </c>
      <c r="C302" s="16" t="s">
        <v>85</v>
      </c>
      <c r="D302" s="31" t="s">
        <v>671</v>
      </c>
      <c r="E302" s="32" t="s">
        <v>242</v>
      </c>
      <c r="F302" s="13" t="b">
        <v>1</v>
      </c>
      <c r="G302" s="13" t="b">
        <v>1</v>
      </c>
      <c r="H302" s="13" t="b">
        <v>0</v>
      </c>
      <c r="I302" s="13" t="b">
        <v>0</v>
      </c>
      <c r="J302" s="13" t="b">
        <v>0</v>
      </c>
      <c r="K302" s="76">
        <v>17</v>
      </c>
      <c r="L302" s="105">
        <f>(BOHL01[[#This Row],[Column8]]-M302)</f>
        <v>3</v>
      </c>
      <c r="M302" s="76">
        <v>14</v>
      </c>
    </row>
    <row r="303" spans="2:13">
      <c r="B303" s="125"/>
      <c r="C303" s="16"/>
      <c r="D303" s="30" t="s">
        <v>672</v>
      </c>
      <c r="E303" s="29" t="s">
        <v>58</v>
      </c>
      <c r="F303" s="13" t="b">
        <v>0</v>
      </c>
      <c r="G303" s="13" t="b">
        <v>0</v>
      </c>
      <c r="H303" s="13" t="b">
        <v>0</v>
      </c>
      <c r="I303" s="13" t="b">
        <v>0</v>
      </c>
      <c r="J303" s="13" t="b">
        <v>0</v>
      </c>
      <c r="K303" s="105"/>
      <c r="L303" s="105">
        <f>(BOHL01[[#This Row],[Column8]]-M303)</f>
        <v>0</v>
      </c>
      <c r="M303" s="105"/>
    </row>
    <row r="304" spans="2:13">
      <c r="B304" s="125"/>
      <c r="C304" s="16"/>
      <c r="D304" s="31" t="s">
        <v>673</v>
      </c>
      <c r="E304" s="32" t="s">
        <v>623</v>
      </c>
      <c r="F304" s="13" t="b">
        <v>0</v>
      </c>
      <c r="G304" s="13" t="b">
        <v>0</v>
      </c>
      <c r="H304" s="13" t="b">
        <v>0</v>
      </c>
      <c r="I304" s="13" t="b">
        <v>0</v>
      </c>
      <c r="J304" s="13" t="b">
        <v>0</v>
      </c>
      <c r="K304" s="76"/>
      <c r="L304" s="105">
        <f>(BOHL01[[#This Row],[Column8]]-M304)</f>
        <v>0</v>
      </c>
      <c r="M304" s="76"/>
    </row>
    <row r="305" spans="2:13">
      <c r="B305" s="125"/>
      <c r="C305" s="16"/>
      <c r="D305" s="31" t="s">
        <v>674</v>
      </c>
      <c r="E305" s="32" t="s">
        <v>623</v>
      </c>
      <c r="F305" s="13" t="b">
        <v>0</v>
      </c>
      <c r="G305" s="13" t="b">
        <v>0</v>
      </c>
      <c r="H305" s="13" t="b">
        <v>0</v>
      </c>
      <c r="I305" s="13" t="b">
        <v>0</v>
      </c>
      <c r="J305" s="13" t="b">
        <v>0</v>
      </c>
      <c r="K305" s="105"/>
      <c r="L305" s="105">
        <f>(BOHL01[[#This Row],[Column8]]-M305)</f>
        <v>0</v>
      </c>
      <c r="M305" s="105"/>
    </row>
    <row r="306" spans="2:13">
      <c r="B306" s="125"/>
      <c r="C306" s="16"/>
      <c r="D306" s="31" t="s">
        <v>675</v>
      </c>
      <c r="E306" s="32" t="s">
        <v>676</v>
      </c>
      <c r="F306" s="13" t="b">
        <v>0</v>
      </c>
      <c r="G306" s="13" t="b">
        <v>0</v>
      </c>
      <c r="H306" s="13" t="b">
        <v>0</v>
      </c>
      <c r="I306" s="13" t="b">
        <v>0</v>
      </c>
      <c r="J306" s="13" t="b">
        <v>0</v>
      </c>
      <c r="K306" s="76"/>
      <c r="L306" s="105">
        <f>(BOHL01[[#This Row],[Column8]]-M306)</f>
        <v>0</v>
      </c>
      <c r="M306" s="76"/>
    </row>
    <row r="307" spans="2:13">
      <c r="B307" s="125"/>
      <c r="C307" s="16"/>
      <c r="D307" s="31" t="s">
        <v>677</v>
      </c>
      <c r="E307" s="32" t="s">
        <v>676</v>
      </c>
      <c r="F307" s="13" t="b">
        <v>0</v>
      </c>
      <c r="G307" s="13" t="b">
        <v>0</v>
      </c>
      <c r="H307" s="13" t="b">
        <v>0</v>
      </c>
      <c r="I307" s="13" t="b">
        <v>0</v>
      </c>
      <c r="J307" s="13" t="b">
        <v>0</v>
      </c>
      <c r="K307" s="105"/>
      <c r="L307" s="105">
        <f>(BOHL01[[#This Row],[Column8]]-M307)</f>
        <v>0</v>
      </c>
      <c r="M307" s="105"/>
    </row>
    <row r="308" spans="2:13">
      <c r="B308" s="126"/>
      <c r="C308" s="20"/>
      <c r="D308" s="271" t="s">
        <v>965</v>
      </c>
      <c r="E308" s="38" t="s">
        <v>863</v>
      </c>
      <c r="F308" s="39" t="b">
        <v>0</v>
      </c>
      <c r="G308" s="39" t="b">
        <v>0</v>
      </c>
      <c r="H308" s="39" t="b">
        <v>0</v>
      </c>
      <c r="I308" s="39" t="b">
        <v>0</v>
      </c>
      <c r="J308" s="39" t="b">
        <v>0</v>
      </c>
      <c r="K308" s="40"/>
      <c r="L308" s="105">
        <f>(BOHL01[[#This Row],[Column8]]-M308)</f>
        <v>0</v>
      </c>
      <c r="M308" s="41"/>
    </row>
    <row r="309" spans="2:13">
      <c r="B309" s="125"/>
      <c r="C309" s="16"/>
      <c r="D309" s="31" t="s">
        <v>678</v>
      </c>
      <c r="E309" s="32" t="s">
        <v>679</v>
      </c>
      <c r="F309" s="13" t="b">
        <v>0</v>
      </c>
      <c r="G309" s="13" t="b">
        <v>0</v>
      </c>
      <c r="H309" s="13" t="b">
        <v>0</v>
      </c>
      <c r="I309" s="13" t="b">
        <v>0</v>
      </c>
      <c r="J309" s="13" t="b">
        <v>0</v>
      </c>
      <c r="K309" s="76"/>
      <c r="L309" s="105">
        <f>(BOHL01[[#This Row],[Column8]]-M309)</f>
        <v>0</v>
      </c>
      <c r="M309" s="76"/>
    </row>
    <row r="310" spans="2:13">
      <c r="B310" s="125">
        <v>46051</v>
      </c>
      <c r="C310" s="16" t="s">
        <v>59</v>
      </c>
      <c r="D310" s="31" t="s">
        <v>680</v>
      </c>
      <c r="E310" s="32" t="s">
        <v>248</v>
      </c>
      <c r="F310" s="13" t="b">
        <v>1</v>
      </c>
      <c r="G310" s="13" t="b">
        <v>1</v>
      </c>
      <c r="H310" s="13" t="b">
        <v>0</v>
      </c>
      <c r="I310" s="13" t="b">
        <v>0</v>
      </c>
      <c r="J310" s="13" t="b">
        <v>0</v>
      </c>
      <c r="K310" s="105">
        <v>18</v>
      </c>
      <c r="L310" s="105">
        <f>(BOHL01[[#This Row],[Column8]]-M310)</f>
        <v>9</v>
      </c>
      <c r="M310" s="105">
        <v>9</v>
      </c>
    </row>
    <row r="311" spans="2:13">
      <c r="B311" s="125"/>
      <c r="C311" s="16"/>
      <c r="D311" s="270" t="s">
        <v>891</v>
      </c>
      <c r="E311" s="32" t="s">
        <v>845</v>
      </c>
      <c r="F311" s="13" t="b">
        <v>0</v>
      </c>
      <c r="G311" s="13" t="b">
        <v>0</v>
      </c>
      <c r="H311" s="13" t="b">
        <v>0</v>
      </c>
      <c r="I311" s="13" t="b">
        <v>0</v>
      </c>
      <c r="J311" s="13" t="b">
        <v>0</v>
      </c>
      <c r="K311" s="12"/>
      <c r="L311" s="105">
        <f>(BOHL01[[#This Row],[Column8]]-M311)</f>
        <v>0</v>
      </c>
      <c r="M311" s="28"/>
    </row>
    <row r="312" spans="2:13">
      <c r="B312" s="125"/>
      <c r="C312" s="16"/>
      <c r="D312" s="31" t="s">
        <v>681</v>
      </c>
      <c r="E312" s="32" t="s">
        <v>676</v>
      </c>
      <c r="F312" s="13" t="b">
        <v>0</v>
      </c>
      <c r="G312" s="13" t="b">
        <v>0</v>
      </c>
      <c r="H312" s="13" t="b">
        <v>0</v>
      </c>
      <c r="I312" s="13" t="b">
        <v>0</v>
      </c>
      <c r="J312" s="13" t="b">
        <v>0</v>
      </c>
      <c r="K312" s="76"/>
      <c r="L312" s="105">
        <f>(BOHL01[[#This Row],[Column8]]-M312)</f>
        <v>0</v>
      </c>
      <c r="M312" s="76"/>
    </row>
    <row r="313" spans="2:13">
      <c r="B313" s="125"/>
      <c r="C313" s="16"/>
      <c r="D313" s="31" t="s">
        <v>682</v>
      </c>
      <c r="E313" s="32" t="s">
        <v>676</v>
      </c>
      <c r="F313" s="13" t="b">
        <v>0</v>
      </c>
      <c r="G313" s="13" t="b">
        <v>0</v>
      </c>
      <c r="H313" s="13" t="b">
        <v>0</v>
      </c>
      <c r="I313" s="13" t="b">
        <v>0</v>
      </c>
      <c r="J313" s="13" t="b">
        <v>0</v>
      </c>
      <c r="K313" s="105"/>
      <c r="L313" s="105">
        <f>(BOHL01[[#This Row],[Column8]]-M313)</f>
        <v>0</v>
      </c>
      <c r="M313" s="105"/>
    </row>
    <row r="314" spans="2:13">
      <c r="B314" s="125"/>
      <c r="C314" s="16"/>
      <c r="D314" s="33" t="s">
        <v>682</v>
      </c>
      <c r="E314" s="29" t="s">
        <v>683</v>
      </c>
      <c r="F314" s="13" t="b">
        <v>0</v>
      </c>
      <c r="G314" s="13" t="b">
        <v>0</v>
      </c>
      <c r="H314" s="13" t="b">
        <v>0</v>
      </c>
      <c r="I314" s="13" t="b">
        <v>0</v>
      </c>
      <c r="J314" s="13" t="b">
        <v>0</v>
      </c>
      <c r="K314" s="76"/>
      <c r="L314" s="105">
        <f>(BOHL01[[#This Row],[Column8]]-M314)</f>
        <v>0</v>
      </c>
      <c r="M314" s="76"/>
    </row>
    <row r="315" spans="2:13">
      <c r="B315" s="125">
        <v>46124</v>
      </c>
      <c r="C315" s="16" t="s">
        <v>69</v>
      </c>
      <c r="D315" s="31" t="s">
        <v>684</v>
      </c>
      <c r="E315" s="32" t="s">
        <v>685</v>
      </c>
      <c r="F315" s="13" t="b">
        <v>1</v>
      </c>
      <c r="G315" s="13" t="b">
        <v>1</v>
      </c>
      <c r="H315" s="13" t="b">
        <v>0</v>
      </c>
      <c r="I315" s="13" t="b">
        <v>0</v>
      </c>
      <c r="J315" s="13" t="b">
        <v>0</v>
      </c>
      <c r="K315" s="105">
        <v>18</v>
      </c>
      <c r="L315" s="105">
        <f>(BOHL01[[#This Row],[Column8]]-M315)</f>
        <v>0</v>
      </c>
      <c r="M315" s="105">
        <v>18</v>
      </c>
    </row>
    <row r="316" spans="2:13">
      <c r="B316" s="125"/>
      <c r="C316" s="16"/>
      <c r="D316" s="31" t="s">
        <v>686</v>
      </c>
      <c r="E316" s="35" t="s">
        <v>58</v>
      </c>
      <c r="F316" s="13" t="b">
        <v>0</v>
      </c>
      <c r="G316" s="13" t="b">
        <v>0</v>
      </c>
      <c r="H316" s="13" t="b">
        <v>0</v>
      </c>
      <c r="I316" s="13" t="b">
        <v>0</v>
      </c>
      <c r="J316" s="13" t="b">
        <v>0</v>
      </c>
      <c r="K316" s="76"/>
      <c r="L316" s="105">
        <f>(BOHL01[[#This Row],[Column8]]-M316)</f>
        <v>0</v>
      </c>
      <c r="M316" s="76"/>
    </row>
    <row r="317" spans="2:13">
      <c r="B317" s="125"/>
      <c r="C317" s="16"/>
      <c r="D317" s="31" t="s">
        <v>687</v>
      </c>
      <c r="E317" s="32" t="s">
        <v>242</v>
      </c>
      <c r="F317" s="13" t="b">
        <v>0</v>
      </c>
      <c r="G317" s="13" t="b">
        <v>0</v>
      </c>
      <c r="H317" s="13" t="b">
        <v>0</v>
      </c>
      <c r="I317" s="13" t="b">
        <v>0</v>
      </c>
      <c r="J317" s="13" t="b">
        <v>0</v>
      </c>
      <c r="K317" s="105"/>
      <c r="L317" s="105">
        <f>(BOHL01[[#This Row],[Column8]]-M317)</f>
        <v>0</v>
      </c>
      <c r="M317" s="105"/>
    </row>
    <row r="318" spans="2:13">
      <c r="B318" s="125"/>
      <c r="C318" s="16"/>
      <c r="D318" s="31" t="s">
        <v>688</v>
      </c>
      <c r="E318" s="32" t="s">
        <v>242</v>
      </c>
      <c r="F318" s="13" t="b">
        <v>0</v>
      </c>
      <c r="G318" s="13" t="b">
        <v>0</v>
      </c>
      <c r="H318" s="13" t="b">
        <v>0</v>
      </c>
      <c r="I318" s="13" t="b">
        <v>0</v>
      </c>
      <c r="J318" s="13" t="b">
        <v>0</v>
      </c>
      <c r="K318" s="76"/>
      <c r="L318" s="105">
        <f>(BOHL01[[#This Row],[Column8]]-M318)</f>
        <v>0</v>
      </c>
      <c r="M318" s="76"/>
    </row>
    <row r="319" spans="2:13">
      <c r="B319" s="125"/>
      <c r="C319" s="16"/>
      <c r="D319" s="31" t="s">
        <v>689</v>
      </c>
      <c r="E319" s="32" t="s">
        <v>242</v>
      </c>
      <c r="F319" s="13" t="b">
        <v>0</v>
      </c>
      <c r="G319" s="13" t="b">
        <v>0</v>
      </c>
      <c r="H319" s="13" t="b">
        <v>0</v>
      </c>
      <c r="I319" s="13" t="b">
        <v>0</v>
      </c>
      <c r="J319" s="13" t="b">
        <v>0</v>
      </c>
      <c r="K319" s="105"/>
      <c r="L319" s="105">
        <f>(BOHL01[[#This Row],[Column8]]-M319)</f>
        <v>0</v>
      </c>
      <c r="M319" s="105"/>
    </row>
    <row r="320" spans="2:13" ht="36">
      <c r="B320" s="125">
        <v>46119</v>
      </c>
      <c r="C320" s="16" t="s">
        <v>66</v>
      </c>
      <c r="D320" s="31" t="s">
        <v>690</v>
      </c>
      <c r="E320" s="32" t="s">
        <v>691</v>
      </c>
      <c r="F320" s="13" t="b">
        <v>1</v>
      </c>
      <c r="G320" s="13" t="b">
        <v>0</v>
      </c>
      <c r="H320" s="13" t="b">
        <v>0</v>
      </c>
      <c r="I320" s="13" t="b">
        <v>0</v>
      </c>
      <c r="J320" s="13" t="b">
        <v>0</v>
      </c>
      <c r="K320" s="76">
        <v>41</v>
      </c>
      <c r="L320" s="105">
        <f>(BOHL01[[#This Row],[Column8]]-M320)</f>
        <v>34</v>
      </c>
      <c r="M320" s="76">
        <v>7</v>
      </c>
    </row>
    <row r="321" spans="2:13" ht="24">
      <c r="B321" s="125">
        <v>46113</v>
      </c>
      <c r="C321" s="16" t="s">
        <v>66</v>
      </c>
      <c r="D321" s="31" t="s">
        <v>692</v>
      </c>
      <c r="E321" s="32" t="s">
        <v>693</v>
      </c>
      <c r="F321" s="13" t="b">
        <v>1</v>
      </c>
      <c r="G321" s="13" t="b">
        <v>1</v>
      </c>
      <c r="H321" s="13" t="b">
        <v>0</v>
      </c>
      <c r="I321" s="13" t="b">
        <v>0</v>
      </c>
      <c r="J321" s="13" t="b">
        <v>0</v>
      </c>
      <c r="K321" s="105">
        <v>34</v>
      </c>
      <c r="L321" s="105">
        <f>(BOHL01[[#This Row],[Column8]]-M321)</f>
        <v>11</v>
      </c>
      <c r="M321" s="105">
        <v>23</v>
      </c>
    </row>
    <row r="322" spans="2:13">
      <c r="B322" s="125"/>
      <c r="C322" s="16"/>
      <c r="D322" s="31" t="s">
        <v>694</v>
      </c>
      <c r="E322" s="32" t="s">
        <v>676</v>
      </c>
      <c r="F322" s="13" t="b">
        <v>0</v>
      </c>
      <c r="G322" s="13" t="b">
        <v>0</v>
      </c>
      <c r="H322" s="13" t="b">
        <v>0</v>
      </c>
      <c r="I322" s="13" t="b">
        <v>0</v>
      </c>
      <c r="J322" s="13" t="b">
        <v>0</v>
      </c>
      <c r="K322" s="76"/>
      <c r="L322" s="105">
        <f>(BOHL01[[#This Row],[Column8]]-M322)</f>
        <v>0</v>
      </c>
      <c r="M322" s="76"/>
    </row>
    <row r="323" spans="2:13">
      <c r="B323" s="125"/>
      <c r="C323" s="16"/>
      <c r="D323" s="31" t="s">
        <v>695</v>
      </c>
      <c r="E323" s="32" t="s">
        <v>676</v>
      </c>
      <c r="F323" s="13" t="b">
        <v>0</v>
      </c>
      <c r="G323" s="13" t="b">
        <v>0</v>
      </c>
      <c r="H323" s="13" t="b">
        <v>0</v>
      </c>
      <c r="I323" s="13" t="b">
        <v>0</v>
      </c>
      <c r="J323" s="13" t="b">
        <v>0</v>
      </c>
      <c r="K323" s="105"/>
      <c r="L323" s="105">
        <f>(BOHL01[[#This Row],[Column8]]-M323)</f>
        <v>0</v>
      </c>
      <c r="M323" s="105"/>
    </row>
    <row r="324" spans="2:13">
      <c r="B324" s="125"/>
      <c r="C324" s="16"/>
      <c r="D324" s="31" t="s">
        <v>696</v>
      </c>
      <c r="E324" s="32" t="s">
        <v>676</v>
      </c>
      <c r="F324" s="13" t="b">
        <v>0</v>
      </c>
      <c r="G324" s="13" t="b">
        <v>0</v>
      </c>
      <c r="H324" s="13" t="b">
        <v>0</v>
      </c>
      <c r="I324" s="13" t="b">
        <v>0</v>
      </c>
      <c r="J324" s="13" t="b">
        <v>0</v>
      </c>
      <c r="K324" s="76"/>
      <c r="L324" s="105">
        <f>(BOHL01[[#This Row],[Column8]]-M324)</f>
        <v>0</v>
      </c>
      <c r="M324" s="76"/>
    </row>
    <row r="325" spans="2:13">
      <c r="B325" s="125"/>
      <c r="C325" s="16"/>
      <c r="D325" s="31" t="s">
        <v>697</v>
      </c>
      <c r="E325" s="35" t="s">
        <v>58</v>
      </c>
      <c r="F325" s="13" t="b">
        <v>0</v>
      </c>
      <c r="G325" s="13" t="b">
        <v>0</v>
      </c>
      <c r="H325" s="13" t="b">
        <v>0</v>
      </c>
      <c r="I325" s="13" t="b">
        <v>0</v>
      </c>
      <c r="J325" s="13" t="b">
        <v>0</v>
      </c>
      <c r="K325" s="105"/>
      <c r="L325" s="105">
        <f>(BOHL01[[#This Row],[Column8]]-M325)</f>
        <v>0</v>
      </c>
      <c r="M325" s="105"/>
    </row>
    <row r="326" spans="2:13">
      <c r="B326" s="125"/>
      <c r="C326" s="16"/>
      <c r="D326" s="31" t="s">
        <v>698</v>
      </c>
      <c r="E326" s="35" t="s">
        <v>58</v>
      </c>
      <c r="F326" s="13" t="b">
        <v>0</v>
      </c>
      <c r="G326" s="13" t="b">
        <v>0</v>
      </c>
      <c r="H326" s="13" t="b">
        <v>0</v>
      </c>
      <c r="I326" s="13" t="b">
        <v>0</v>
      </c>
      <c r="J326" s="13" t="b">
        <v>0</v>
      </c>
      <c r="K326" s="76"/>
      <c r="L326" s="105">
        <f>(BOHL01[[#This Row],[Column8]]-M326)</f>
        <v>0</v>
      </c>
      <c r="M326" s="76"/>
    </row>
    <row r="327" spans="2:13">
      <c r="B327" s="125"/>
      <c r="C327" s="16"/>
      <c r="D327" s="111" t="s">
        <v>699</v>
      </c>
      <c r="E327" s="32" t="s">
        <v>272</v>
      </c>
      <c r="F327" s="13" t="b">
        <v>1</v>
      </c>
      <c r="G327" s="13" t="b">
        <v>0</v>
      </c>
      <c r="H327" s="13" t="b">
        <v>0</v>
      </c>
      <c r="I327" s="13" t="b">
        <v>0</v>
      </c>
      <c r="J327" s="13" t="b">
        <v>0</v>
      </c>
      <c r="K327" s="105"/>
      <c r="L327" s="105">
        <f>(BOHL01[[#This Row],[Column8]]-M327)</f>
        <v>0</v>
      </c>
      <c r="M327" s="105"/>
    </row>
    <row r="328" spans="2:13">
      <c r="B328" s="125"/>
      <c r="C328" s="16"/>
      <c r="D328" s="111" t="s">
        <v>700</v>
      </c>
      <c r="E328" s="32" t="s">
        <v>272</v>
      </c>
      <c r="F328" s="13" t="b">
        <v>1</v>
      </c>
      <c r="G328" s="13" t="b">
        <v>0</v>
      </c>
      <c r="H328" s="13" t="b">
        <v>0</v>
      </c>
      <c r="I328" s="13" t="b">
        <v>0</v>
      </c>
      <c r="J328" s="13" t="b">
        <v>0</v>
      </c>
      <c r="K328" s="76"/>
      <c r="L328" s="105">
        <f>(BOHL01[[#This Row],[Column8]]-M328)</f>
        <v>0</v>
      </c>
      <c r="M328" s="76"/>
    </row>
    <row r="329" spans="2:13">
      <c r="B329" s="125"/>
      <c r="C329" s="16"/>
      <c r="D329" s="111" t="s">
        <v>701</v>
      </c>
      <c r="E329" s="32" t="s">
        <v>272</v>
      </c>
      <c r="F329" s="13" t="b">
        <v>1</v>
      </c>
      <c r="G329" s="13" t="b">
        <v>0</v>
      </c>
      <c r="H329" s="13" t="b">
        <v>0</v>
      </c>
      <c r="I329" s="13" t="b">
        <v>0</v>
      </c>
      <c r="J329" s="13" t="b">
        <v>0</v>
      </c>
      <c r="K329" s="105"/>
      <c r="L329" s="105">
        <f>(BOHL01[[#This Row],[Column8]]-M329)</f>
        <v>0</v>
      </c>
      <c r="M329" s="105"/>
    </row>
    <row r="330" spans="2:13">
      <c r="B330" s="125"/>
      <c r="C330" s="16"/>
      <c r="D330" s="111" t="s">
        <v>702</v>
      </c>
      <c r="E330" s="32" t="s">
        <v>703</v>
      </c>
      <c r="F330" s="13" t="b">
        <v>1</v>
      </c>
      <c r="G330" s="13" t="b">
        <v>0</v>
      </c>
      <c r="H330" s="13" t="b">
        <v>0</v>
      </c>
      <c r="I330" s="13" t="b">
        <v>0</v>
      </c>
      <c r="J330" s="13" t="b">
        <v>0</v>
      </c>
      <c r="K330" s="76"/>
      <c r="L330" s="105">
        <f>(BOHL01[[#This Row],[Column8]]-M330)</f>
        <v>0</v>
      </c>
      <c r="M330" s="76"/>
    </row>
    <row r="331" spans="2:13">
      <c r="B331" s="125"/>
      <c r="C331" s="16"/>
      <c r="D331" s="111" t="s">
        <v>704</v>
      </c>
      <c r="E331" s="32" t="s">
        <v>272</v>
      </c>
      <c r="F331" s="13" t="b">
        <v>1</v>
      </c>
      <c r="G331" s="13" t="b">
        <v>0</v>
      </c>
      <c r="H331" s="13" t="b">
        <v>0</v>
      </c>
      <c r="I331" s="13" t="b">
        <v>0</v>
      </c>
      <c r="J331" s="13" t="b">
        <v>0</v>
      </c>
      <c r="K331" s="105"/>
      <c r="L331" s="105">
        <f>(BOHL01[[#This Row],[Column8]]-M331)</f>
        <v>0</v>
      </c>
      <c r="M331" s="105"/>
    </row>
    <row r="332" spans="2:13">
      <c r="B332" s="125">
        <v>46070</v>
      </c>
      <c r="C332" s="16" t="s">
        <v>94</v>
      </c>
      <c r="D332" s="31" t="s">
        <v>705</v>
      </c>
      <c r="E332" s="35" t="s">
        <v>706</v>
      </c>
      <c r="F332" s="13" t="b">
        <v>1</v>
      </c>
      <c r="G332" s="13" t="b">
        <v>1</v>
      </c>
      <c r="H332" s="13" t="b">
        <v>0</v>
      </c>
      <c r="I332" s="13" t="b">
        <v>0</v>
      </c>
      <c r="J332" s="13" t="b">
        <v>0</v>
      </c>
      <c r="K332" s="76">
        <v>12</v>
      </c>
      <c r="L332" s="105">
        <f>(BOHL01[[#This Row],[Column8]]-M332)</f>
        <v>6</v>
      </c>
      <c r="M332" s="76">
        <v>6</v>
      </c>
    </row>
    <row r="333" spans="2:13">
      <c r="B333" s="125"/>
      <c r="C333" s="16"/>
      <c r="D333" s="268" t="s">
        <v>707</v>
      </c>
      <c r="E333" s="35" t="s">
        <v>133</v>
      </c>
      <c r="F333" s="13" t="b">
        <v>0</v>
      </c>
      <c r="G333" s="13" t="b">
        <v>0</v>
      </c>
      <c r="H333" s="13" t="b">
        <v>0</v>
      </c>
      <c r="I333" s="13" t="b">
        <v>0</v>
      </c>
      <c r="J333" s="13" t="b">
        <v>0</v>
      </c>
      <c r="K333" s="105"/>
      <c r="L333" s="105">
        <f>(BOHL01[[#This Row],[Column8]]-M333)</f>
        <v>0</v>
      </c>
      <c r="M333" s="105"/>
    </row>
    <row r="334" spans="2:13">
      <c r="B334" s="125"/>
      <c r="C334" s="16"/>
      <c r="D334" s="268" t="s">
        <v>708</v>
      </c>
      <c r="E334" s="35" t="s">
        <v>135</v>
      </c>
      <c r="F334" s="13" t="b">
        <v>0</v>
      </c>
      <c r="G334" s="13" t="b">
        <v>0</v>
      </c>
      <c r="H334" s="13" t="b">
        <v>0</v>
      </c>
      <c r="I334" s="13" t="b">
        <v>0</v>
      </c>
      <c r="J334" s="13" t="b">
        <v>0</v>
      </c>
      <c r="K334" s="76"/>
      <c r="L334" s="105">
        <f>(BOHL01[[#This Row],[Column8]]-M334)</f>
        <v>0</v>
      </c>
      <c r="M334" s="76"/>
    </row>
    <row r="335" spans="2:13">
      <c r="B335" s="125"/>
      <c r="C335" s="16"/>
      <c r="D335" s="268" t="s">
        <v>709</v>
      </c>
      <c r="E335" s="35" t="s">
        <v>710</v>
      </c>
      <c r="F335" s="13" t="b">
        <v>0</v>
      </c>
      <c r="G335" s="13" t="b">
        <v>0</v>
      </c>
      <c r="H335" s="13" t="b">
        <v>0</v>
      </c>
      <c r="I335" s="13" t="b">
        <v>0</v>
      </c>
      <c r="J335" s="13" t="b">
        <v>0</v>
      </c>
      <c r="K335" s="105"/>
      <c r="L335" s="105">
        <f>(BOHL01[[#This Row],[Column8]]-M335)</f>
        <v>0</v>
      </c>
      <c r="M335" s="105"/>
    </row>
    <row r="336" spans="2:13">
      <c r="B336" s="125"/>
      <c r="C336" s="16"/>
      <c r="D336" s="268" t="s">
        <v>711</v>
      </c>
      <c r="E336" s="35" t="s">
        <v>58</v>
      </c>
      <c r="F336" s="13" t="b">
        <v>0</v>
      </c>
      <c r="G336" s="13" t="b">
        <v>0</v>
      </c>
      <c r="H336" s="13" t="b">
        <v>0</v>
      </c>
      <c r="I336" s="13" t="b">
        <v>0</v>
      </c>
      <c r="J336" s="13" t="b">
        <v>0</v>
      </c>
      <c r="K336" s="76"/>
      <c r="L336" s="105">
        <f>(BOHL01[[#This Row],[Column8]]-M336)</f>
        <v>0</v>
      </c>
      <c r="M336" s="76"/>
    </row>
    <row r="337" spans="2:13">
      <c r="B337" s="125">
        <v>46121</v>
      </c>
      <c r="C337" s="191" t="s">
        <v>53</v>
      </c>
      <c r="D337" s="31" t="s">
        <v>712</v>
      </c>
      <c r="E337" s="32" t="s">
        <v>713</v>
      </c>
      <c r="F337" s="13" t="b">
        <v>1</v>
      </c>
      <c r="G337" s="13" t="b">
        <v>0</v>
      </c>
      <c r="H337" s="13" t="b">
        <v>0</v>
      </c>
      <c r="I337" s="13" t="b">
        <v>0</v>
      </c>
      <c r="J337" s="13" t="b">
        <v>0</v>
      </c>
      <c r="K337" s="105">
        <v>92</v>
      </c>
      <c r="L337" s="105">
        <f>(BOHL01[[#This Row],[Column8]]-M337)</f>
        <v>91</v>
      </c>
      <c r="M337" s="105">
        <v>1</v>
      </c>
    </row>
    <row r="338" spans="2:13" ht="27">
      <c r="B338" s="125">
        <v>46121</v>
      </c>
      <c r="C338" s="16" t="s">
        <v>62</v>
      </c>
      <c r="D338" s="30" t="s">
        <v>716</v>
      </c>
      <c r="E338" s="29" t="s">
        <v>717</v>
      </c>
      <c r="F338" s="13" t="b">
        <v>1</v>
      </c>
      <c r="G338" s="13" t="b">
        <v>0</v>
      </c>
      <c r="H338" s="13" t="b">
        <v>0</v>
      </c>
      <c r="I338" s="13" t="b">
        <v>0</v>
      </c>
      <c r="J338" s="13" t="b">
        <v>0</v>
      </c>
      <c r="K338" s="105">
        <v>8</v>
      </c>
      <c r="L338" s="105">
        <f>(BOHL01[[#This Row],[Column8]]-M338)</f>
        <v>8</v>
      </c>
      <c r="M338" s="105">
        <v>0</v>
      </c>
    </row>
    <row r="339" spans="2:13">
      <c r="B339" s="125">
        <v>46054</v>
      </c>
      <c r="C339" s="16" t="s">
        <v>69</v>
      </c>
      <c r="D339" s="30" t="s">
        <v>718</v>
      </c>
      <c r="E339" s="29" t="s">
        <v>719</v>
      </c>
      <c r="F339" s="13" t="b">
        <v>1</v>
      </c>
      <c r="G339" s="13" t="b">
        <v>1</v>
      </c>
      <c r="H339" s="13" t="b">
        <v>0</v>
      </c>
      <c r="I339" s="13" t="b">
        <v>0</v>
      </c>
      <c r="J339" s="13" t="b">
        <v>0</v>
      </c>
      <c r="K339" s="76">
        <v>19</v>
      </c>
      <c r="L339" s="105">
        <f>(BOHL01[[#This Row],[Column8]]-M339)</f>
        <v>8</v>
      </c>
      <c r="M339" s="76">
        <v>11</v>
      </c>
    </row>
    <row r="340" spans="2:13">
      <c r="B340" s="125"/>
      <c r="C340" s="16"/>
      <c r="D340" s="31" t="s">
        <v>714</v>
      </c>
      <c r="E340" s="32" t="s">
        <v>715</v>
      </c>
      <c r="F340" s="13" t="b">
        <v>0</v>
      </c>
      <c r="G340" s="13" t="b">
        <v>0</v>
      </c>
      <c r="H340" s="13" t="b">
        <v>0</v>
      </c>
      <c r="I340" s="13" t="b">
        <v>0</v>
      </c>
      <c r="J340" s="13" t="b">
        <v>0</v>
      </c>
      <c r="K340" s="76"/>
      <c r="L340" s="105">
        <f>(BOHL01[[#This Row],[Column8]]-M340)</f>
        <v>0</v>
      </c>
      <c r="M340" s="76"/>
    </row>
    <row r="341" spans="2:13">
      <c r="B341" s="125"/>
      <c r="C341" s="16"/>
      <c r="D341" s="31" t="s">
        <v>720</v>
      </c>
      <c r="E341" s="32" t="s">
        <v>721</v>
      </c>
      <c r="F341" s="13" t="b">
        <v>0</v>
      </c>
      <c r="G341" s="13" t="b">
        <v>0</v>
      </c>
      <c r="H341" s="13" t="b">
        <v>0</v>
      </c>
      <c r="I341" s="13" t="b">
        <v>0</v>
      </c>
      <c r="J341" s="13" t="b">
        <v>0</v>
      </c>
      <c r="K341" s="105"/>
      <c r="L341" s="105">
        <f>(BOHL01[[#This Row],[Column8]]-M341)</f>
        <v>0</v>
      </c>
      <c r="M341" s="105"/>
    </row>
    <row r="342" spans="2:13">
      <c r="B342" s="125"/>
      <c r="C342" s="16"/>
      <c r="D342" s="31" t="s">
        <v>722</v>
      </c>
      <c r="E342" s="32" t="s">
        <v>721</v>
      </c>
      <c r="F342" s="13" t="b">
        <v>0</v>
      </c>
      <c r="G342" s="13" t="b">
        <v>0</v>
      </c>
      <c r="H342" s="13" t="b">
        <v>0</v>
      </c>
      <c r="I342" s="13" t="b">
        <v>0</v>
      </c>
      <c r="J342" s="13" t="b">
        <v>0</v>
      </c>
      <c r="K342" s="76"/>
      <c r="L342" s="105">
        <f>(BOHL01[[#This Row],[Column8]]-M342)</f>
        <v>0</v>
      </c>
      <c r="M342" s="76"/>
    </row>
    <row r="343" spans="2:13">
      <c r="B343" s="125"/>
      <c r="C343" s="16"/>
      <c r="D343" s="31" t="s">
        <v>723</v>
      </c>
      <c r="E343" s="32" t="s">
        <v>721</v>
      </c>
      <c r="F343" s="13" t="b">
        <v>0</v>
      </c>
      <c r="G343" s="13" t="b">
        <v>0</v>
      </c>
      <c r="H343" s="13" t="b">
        <v>0</v>
      </c>
      <c r="I343" s="13" t="b">
        <v>0</v>
      </c>
      <c r="J343" s="13" t="b">
        <v>0</v>
      </c>
      <c r="K343" s="105"/>
      <c r="L343" s="105">
        <f>(BOHL01[[#This Row],[Column8]]-M343)</f>
        <v>0</v>
      </c>
      <c r="M343" s="105"/>
    </row>
    <row r="344" spans="2:13">
      <c r="B344" s="125"/>
      <c r="C344" s="16"/>
      <c r="D344" s="31" t="s">
        <v>724</v>
      </c>
      <c r="E344" s="32" t="s">
        <v>721</v>
      </c>
      <c r="F344" s="13" t="b">
        <v>0</v>
      </c>
      <c r="G344" s="13" t="b">
        <v>0</v>
      </c>
      <c r="H344" s="13" t="b">
        <v>0</v>
      </c>
      <c r="I344" s="13" t="b">
        <v>0</v>
      </c>
      <c r="J344" s="13" t="b">
        <v>0</v>
      </c>
      <c r="K344" s="76"/>
      <c r="L344" s="105">
        <f>(BOHL01[[#This Row],[Column8]]-M344)</f>
        <v>0</v>
      </c>
      <c r="M344" s="76"/>
    </row>
    <row r="345" spans="2:13">
      <c r="B345" s="125"/>
      <c r="C345" s="16"/>
      <c r="D345" s="31" t="s">
        <v>725</v>
      </c>
      <c r="E345" s="32" t="s">
        <v>726</v>
      </c>
      <c r="F345" s="13" t="b">
        <v>0</v>
      </c>
      <c r="G345" s="13" t="b">
        <v>0</v>
      </c>
      <c r="H345" s="13" t="b">
        <v>0</v>
      </c>
      <c r="I345" s="13" t="b">
        <v>0</v>
      </c>
      <c r="J345" s="13" t="b">
        <v>0</v>
      </c>
      <c r="K345" s="105"/>
      <c r="L345" s="105">
        <f>(BOHL01[[#This Row],[Column8]]-M345)</f>
        <v>0</v>
      </c>
      <c r="M345" s="105"/>
    </row>
    <row r="346" spans="2:13">
      <c r="B346" s="125"/>
      <c r="C346" s="16"/>
      <c r="D346" s="31" t="s">
        <v>727</v>
      </c>
      <c r="E346" s="32" t="s">
        <v>728</v>
      </c>
      <c r="F346" s="13" t="b">
        <v>0</v>
      </c>
      <c r="G346" s="13" t="b">
        <v>0</v>
      </c>
      <c r="H346" s="13" t="b">
        <v>0</v>
      </c>
      <c r="I346" s="13" t="b">
        <v>0</v>
      </c>
      <c r="J346" s="13" t="b">
        <v>0</v>
      </c>
      <c r="K346" s="76"/>
      <c r="L346" s="105">
        <f>(BOHL01[[#This Row],[Column8]]-M346)</f>
        <v>0</v>
      </c>
      <c r="M346" s="76"/>
    </row>
    <row r="347" spans="2:13">
      <c r="B347" s="125"/>
      <c r="C347" s="16"/>
      <c r="D347" s="31" t="s">
        <v>729</v>
      </c>
      <c r="E347" s="32" t="s">
        <v>728</v>
      </c>
      <c r="F347" s="13" t="b">
        <v>0</v>
      </c>
      <c r="G347" s="13" t="b">
        <v>0</v>
      </c>
      <c r="H347" s="13" t="b">
        <v>0</v>
      </c>
      <c r="I347" s="13" t="b">
        <v>0</v>
      </c>
      <c r="J347" s="13" t="b">
        <v>0</v>
      </c>
      <c r="K347" s="105"/>
      <c r="L347" s="105">
        <f>(BOHL01[[#This Row],[Column8]]-M347)</f>
        <v>0</v>
      </c>
      <c r="M347" s="105"/>
    </row>
    <row r="348" spans="2:13">
      <c r="B348" s="125"/>
      <c r="C348" s="16"/>
      <c r="D348" s="31" t="s">
        <v>730</v>
      </c>
      <c r="E348" s="32" t="s">
        <v>731</v>
      </c>
      <c r="F348" s="13" t="b">
        <v>0</v>
      </c>
      <c r="G348" s="13" t="b">
        <v>0</v>
      </c>
      <c r="H348" s="13" t="b">
        <v>0</v>
      </c>
      <c r="I348" s="13" t="b">
        <v>0</v>
      </c>
      <c r="J348" s="13" t="b">
        <v>0</v>
      </c>
      <c r="K348" s="76"/>
      <c r="L348" s="105">
        <f>(BOHL01[[#This Row],[Column8]]-M348)</f>
        <v>0</v>
      </c>
      <c r="M348" s="76"/>
    </row>
    <row r="349" spans="2:13">
      <c r="B349" s="125"/>
      <c r="C349" s="16"/>
      <c r="D349" s="31" t="s">
        <v>732</v>
      </c>
      <c r="E349" s="32" t="s">
        <v>731</v>
      </c>
      <c r="F349" s="13" t="b">
        <v>0</v>
      </c>
      <c r="G349" s="13" t="b">
        <v>0</v>
      </c>
      <c r="H349" s="13" t="b">
        <v>0</v>
      </c>
      <c r="I349" s="13" t="b">
        <v>0</v>
      </c>
      <c r="J349" s="13" t="b">
        <v>0</v>
      </c>
      <c r="K349" s="105"/>
      <c r="L349" s="105">
        <f>(BOHL01[[#This Row],[Column8]]-M349)</f>
        <v>0</v>
      </c>
      <c r="M349" s="105"/>
    </row>
    <row r="350" spans="2:13">
      <c r="B350" s="125"/>
      <c r="C350" s="16"/>
      <c r="D350" s="31" t="s">
        <v>733</v>
      </c>
      <c r="E350" s="32" t="s">
        <v>734</v>
      </c>
      <c r="F350" s="13" t="b">
        <v>0</v>
      </c>
      <c r="G350" s="13" t="b">
        <v>0</v>
      </c>
      <c r="H350" s="13" t="b">
        <v>0</v>
      </c>
      <c r="I350" s="13" t="b">
        <v>0</v>
      </c>
      <c r="J350" s="13" t="b">
        <v>0</v>
      </c>
      <c r="K350" s="76"/>
      <c r="L350" s="105">
        <f>(BOHL01[[#This Row],[Column8]]-M350)</f>
        <v>0</v>
      </c>
      <c r="M350" s="76"/>
    </row>
    <row r="351" spans="2:13">
      <c r="B351" s="125"/>
      <c r="C351" s="16"/>
      <c r="D351" s="31" t="s">
        <v>735</v>
      </c>
      <c r="E351" s="32" t="s">
        <v>734</v>
      </c>
      <c r="F351" s="13" t="b">
        <v>0</v>
      </c>
      <c r="G351" s="13" t="b">
        <v>0</v>
      </c>
      <c r="H351" s="13" t="b">
        <v>0</v>
      </c>
      <c r="I351" s="13" t="b">
        <v>0</v>
      </c>
      <c r="J351" s="13" t="b">
        <v>0</v>
      </c>
      <c r="K351" s="105"/>
      <c r="L351" s="105">
        <f>(BOHL01[[#This Row],[Column8]]-M351)</f>
        <v>0</v>
      </c>
      <c r="M351" s="105"/>
    </row>
    <row r="352" spans="2:13">
      <c r="B352" s="125"/>
      <c r="C352" s="16"/>
      <c r="D352" s="31" t="s">
        <v>736</v>
      </c>
      <c r="E352" s="32" t="s">
        <v>734</v>
      </c>
      <c r="F352" s="13" t="b">
        <v>0</v>
      </c>
      <c r="G352" s="13" t="b">
        <v>0</v>
      </c>
      <c r="H352" s="13" t="b">
        <v>0</v>
      </c>
      <c r="I352" s="13" t="b">
        <v>0</v>
      </c>
      <c r="J352" s="13" t="b">
        <v>0</v>
      </c>
      <c r="K352" s="76"/>
      <c r="L352" s="105">
        <f>(BOHL01[[#This Row],[Column8]]-M352)</f>
        <v>0</v>
      </c>
      <c r="M352" s="76"/>
    </row>
    <row r="353" spans="2:13">
      <c r="B353" s="125"/>
      <c r="C353" s="16"/>
      <c r="D353" s="31" t="s">
        <v>737</v>
      </c>
      <c r="E353" s="32" t="s">
        <v>734</v>
      </c>
      <c r="F353" s="13" t="b">
        <v>0</v>
      </c>
      <c r="G353" s="13" t="b">
        <v>0</v>
      </c>
      <c r="H353" s="13" t="b">
        <v>0</v>
      </c>
      <c r="I353" s="13" t="b">
        <v>0</v>
      </c>
      <c r="J353" s="13" t="b">
        <v>0</v>
      </c>
      <c r="K353" s="105"/>
      <c r="L353" s="105">
        <f>(BOHL01[[#This Row],[Column8]]-M353)</f>
        <v>0</v>
      </c>
      <c r="M353" s="105"/>
    </row>
    <row r="354" spans="2:13">
      <c r="B354" s="125"/>
      <c r="C354" s="16"/>
      <c r="D354" s="31" t="s">
        <v>738</v>
      </c>
      <c r="E354" s="32" t="s">
        <v>715</v>
      </c>
      <c r="F354" s="13" t="b">
        <v>0</v>
      </c>
      <c r="G354" s="13" t="b">
        <v>0</v>
      </c>
      <c r="H354" s="13" t="b">
        <v>0</v>
      </c>
      <c r="I354" s="13" t="b">
        <v>0</v>
      </c>
      <c r="J354" s="13" t="b">
        <v>0</v>
      </c>
      <c r="K354" s="76"/>
      <c r="L354" s="105">
        <f>(BOHL01[[#This Row],[Column8]]-M354)</f>
        <v>0</v>
      </c>
      <c r="M354" s="76"/>
    </row>
    <row r="355" spans="2:13">
      <c r="B355" s="125"/>
      <c r="C355" s="16"/>
      <c r="D355" s="31" t="s">
        <v>739</v>
      </c>
      <c r="E355" s="32" t="s">
        <v>740</v>
      </c>
      <c r="F355" s="13" t="b">
        <v>0</v>
      </c>
      <c r="G355" s="13" t="b">
        <v>0</v>
      </c>
      <c r="H355" s="13" t="b">
        <v>0</v>
      </c>
      <c r="I355" s="13" t="b">
        <v>0</v>
      </c>
      <c r="J355" s="13" t="b">
        <v>0</v>
      </c>
      <c r="K355" s="105"/>
      <c r="L355" s="105">
        <f>(BOHL01[[#This Row],[Column8]]-M355)</f>
        <v>0</v>
      </c>
      <c r="M355" s="105"/>
    </row>
    <row r="356" spans="2:13">
      <c r="B356" s="125"/>
      <c r="C356" s="16"/>
      <c r="D356" s="31" t="s">
        <v>739</v>
      </c>
      <c r="E356" s="32" t="s">
        <v>679</v>
      </c>
      <c r="F356" s="13" t="b">
        <v>0</v>
      </c>
      <c r="G356" s="13" t="b">
        <v>0</v>
      </c>
      <c r="H356" s="13" t="b">
        <v>0</v>
      </c>
      <c r="I356" s="13" t="b">
        <v>0</v>
      </c>
      <c r="J356" s="13" t="b">
        <v>0</v>
      </c>
      <c r="K356" s="76"/>
      <c r="L356" s="105">
        <f>(BOHL01[[#This Row],[Column8]]-M356)</f>
        <v>0</v>
      </c>
      <c r="M356" s="76"/>
    </row>
    <row r="357" spans="2:13">
      <c r="B357" s="125"/>
      <c r="C357" s="16"/>
      <c r="D357" s="31" t="s">
        <v>741</v>
      </c>
      <c r="E357" s="32" t="s">
        <v>679</v>
      </c>
      <c r="F357" s="13" t="b">
        <v>0</v>
      </c>
      <c r="G357" s="13" t="b">
        <v>0</v>
      </c>
      <c r="H357" s="13" t="b">
        <v>0</v>
      </c>
      <c r="I357" s="13" t="b">
        <v>0</v>
      </c>
      <c r="J357" s="13" t="b">
        <v>0</v>
      </c>
      <c r="K357" s="105"/>
      <c r="L357" s="105">
        <f>(BOHL01[[#This Row],[Column8]]-M357)</f>
        <v>0</v>
      </c>
      <c r="M357" s="105"/>
    </row>
    <row r="358" spans="2:13">
      <c r="B358" s="125"/>
      <c r="C358" s="16"/>
      <c r="D358" s="31" t="s">
        <v>742</v>
      </c>
      <c r="E358" s="32" t="s">
        <v>679</v>
      </c>
      <c r="F358" s="13" t="b">
        <v>0</v>
      </c>
      <c r="G358" s="13" t="b">
        <v>0</v>
      </c>
      <c r="H358" s="13" t="b">
        <v>0</v>
      </c>
      <c r="I358" s="13" t="b">
        <v>0</v>
      </c>
      <c r="J358" s="13" t="b">
        <v>0</v>
      </c>
      <c r="K358" s="76"/>
      <c r="L358" s="105">
        <f>(BOHL01[[#This Row],[Column8]]-M358)</f>
        <v>0</v>
      </c>
      <c r="M358" s="76"/>
    </row>
    <row r="359" spans="2:13">
      <c r="B359" s="125"/>
      <c r="C359" s="16"/>
      <c r="D359" s="31" t="s">
        <v>743</v>
      </c>
      <c r="E359" s="32" t="s">
        <v>679</v>
      </c>
      <c r="F359" s="13" t="b">
        <v>0</v>
      </c>
      <c r="G359" s="13" t="b">
        <v>0</v>
      </c>
      <c r="H359" s="13" t="b">
        <v>0</v>
      </c>
      <c r="I359" s="13" t="b">
        <v>0</v>
      </c>
      <c r="J359" s="13" t="b">
        <v>0</v>
      </c>
      <c r="K359" s="105"/>
      <c r="L359" s="105">
        <f>(BOHL01[[#This Row],[Column8]]-M359)</f>
        <v>0</v>
      </c>
      <c r="M359" s="105"/>
    </row>
    <row r="360" spans="2:13">
      <c r="B360" s="125"/>
      <c r="C360" s="16"/>
      <c r="D360" s="31" t="s">
        <v>744</v>
      </c>
      <c r="E360" s="32" t="s">
        <v>679</v>
      </c>
      <c r="F360" s="13" t="b">
        <v>0</v>
      </c>
      <c r="G360" s="13" t="b">
        <v>0</v>
      </c>
      <c r="H360" s="13" t="b">
        <v>0</v>
      </c>
      <c r="I360" s="13" t="b">
        <v>0</v>
      </c>
      <c r="J360" s="13" t="b">
        <v>0</v>
      </c>
      <c r="K360" s="76"/>
      <c r="L360" s="105">
        <f>(BOHL01[[#This Row],[Column8]]-M360)</f>
        <v>0</v>
      </c>
      <c r="M360" s="76"/>
    </row>
    <row r="361" spans="2:13">
      <c r="B361" s="125"/>
      <c r="C361" s="16"/>
      <c r="D361" s="31" t="s">
        <v>745</v>
      </c>
      <c r="E361" s="32" t="s">
        <v>679</v>
      </c>
      <c r="F361" s="13" t="b">
        <v>0</v>
      </c>
      <c r="G361" s="13" t="b">
        <v>0</v>
      </c>
      <c r="H361" s="13" t="b">
        <v>0</v>
      </c>
      <c r="I361" s="13" t="b">
        <v>0</v>
      </c>
      <c r="J361" s="13" t="b">
        <v>0</v>
      </c>
      <c r="K361" s="105"/>
      <c r="L361" s="105">
        <f>(BOHL01[[#This Row],[Column8]]-M361)</f>
        <v>0</v>
      </c>
      <c r="M361" s="105"/>
    </row>
    <row r="362" spans="2:13">
      <c r="B362" s="125"/>
      <c r="C362" s="16"/>
      <c r="D362" s="31" t="s">
        <v>746</v>
      </c>
      <c r="E362" s="32" t="s">
        <v>721</v>
      </c>
      <c r="F362" s="13" t="b">
        <v>0</v>
      </c>
      <c r="G362" s="13" t="b">
        <v>0</v>
      </c>
      <c r="H362" s="13" t="b">
        <v>0</v>
      </c>
      <c r="I362" s="13" t="b">
        <v>0</v>
      </c>
      <c r="J362" s="13" t="b">
        <v>0</v>
      </c>
      <c r="K362" s="76"/>
      <c r="L362" s="105">
        <f>(BOHL01[[#This Row],[Column8]]-M362)</f>
        <v>0</v>
      </c>
      <c r="M362" s="76"/>
    </row>
    <row r="363" spans="2:13">
      <c r="B363" s="125"/>
      <c r="C363" s="16"/>
      <c r="D363" s="31" t="s">
        <v>747</v>
      </c>
      <c r="E363" s="32" t="s">
        <v>748</v>
      </c>
      <c r="F363" s="13" t="b">
        <v>0</v>
      </c>
      <c r="G363" s="13" t="b">
        <v>0</v>
      </c>
      <c r="H363" s="13" t="b">
        <v>0</v>
      </c>
      <c r="I363" s="13" t="b">
        <v>0</v>
      </c>
      <c r="J363" s="13" t="b">
        <v>0</v>
      </c>
      <c r="K363" s="105"/>
      <c r="L363" s="105">
        <f>(BOHL01[[#This Row],[Column8]]-M363)</f>
        <v>0</v>
      </c>
      <c r="M363" s="105"/>
    </row>
    <row r="364" spans="2:13">
      <c r="B364" s="125"/>
      <c r="C364" s="16"/>
      <c r="D364" s="31" t="s">
        <v>749</v>
      </c>
      <c r="E364" s="32" t="s">
        <v>748</v>
      </c>
      <c r="F364" s="13" t="b">
        <v>0</v>
      </c>
      <c r="G364" s="13" t="b">
        <v>0</v>
      </c>
      <c r="H364" s="13" t="b">
        <v>0</v>
      </c>
      <c r="I364" s="13" t="b">
        <v>0</v>
      </c>
      <c r="J364" s="13" t="b">
        <v>0</v>
      </c>
      <c r="K364" s="76"/>
      <c r="L364" s="105">
        <f>(BOHL01[[#This Row],[Column8]]-M364)</f>
        <v>0</v>
      </c>
      <c r="M364" s="76"/>
    </row>
    <row r="365" spans="2:13">
      <c r="B365" s="125"/>
      <c r="C365" s="16"/>
      <c r="D365" s="31" t="s">
        <v>750</v>
      </c>
      <c r="E365" s="32" t="s">
        <v>748</v>
      </c>
      <c r="F365" s="13" t="b">
        <v>0</v>
      </c>
      <c r="G365" s="13" t="b">
        <v>0</v>
      </c>
      <c r="H365" s="13" t="b">
        <v>0</v>
      </c>
      <c r="I365" s="13" t="b">
        <v>0</v>
      </c>
      <c r="J365" s="13" t="b">
        <v>0</v>
      </c>
      <c r="K365" s="105"/>
      <c r="L365" s="105">
        <f>(BOHL01[[#This Row],[Column8]]-M365)</f>
        <v>0</v>
      </c>
      <c r="M365" s="105"/>
    </row>
    <row r="366" spans="2:13">
      <c r="B366" s="125"/>
      <c r="C366" s="16"/>
      <c r="D366" s="31" t="s">
        <v>751</v>
      </c>
      <c r="E366" s="32" t="s">
        <v>748</v>
      </c>
      <c r="F366" s="13" t="b">
        <v>0</v>
      </c>
      <c r="G366" s="13" t="b">
        <v>0</v>
      </c>
      <c r="H366" s="13" t="b">
        <v>0</v>
      </c>
      <c r="I366" s="13" t="b">
        <v>0</v>
      </c>
      <c r="J366" s="13" t="b">
        <v>0</v>
      </c>
      <c r="K366" s="76"/>
      <c r="L366" s="105">
        <f>(BOHL01[[#This Row],[Column8]]-M366)</f>
        <v>0</v>
      </c>
      <c r="M366" s="76"/>
    </row>
    <row r="367" spans="2:13">
      <c r="B367" s="125"/>
      <c r="C367" s="16"/>
      <c r="D367" s="31" t="s">
        <v>752</v>
      </c>
      <c r="E367" s="32" t="s">
        <v>748</v>
      </c>
      <c r="F367" s="13" t="b">
        <v>0</v>
      </c>
      <c r="G367" s="13" t="b">
        <v>0</v>
      </c>
      <c r="H367" s="13" t="b">
        <v>0</v>
      </c>
      <c r="I367" s="13" t="b">
        <v>0</v>
      </c>
      <c r="J367" s="13" t="b">
        <v>0</v>
      </c>
      <c r="K367" s="105"/>
      <c r="L367" s="105">
        <f>(BOHL01[[#This Row],[Column8]]-M367)</f>
        <v>0</v>
      </c>
      <c r="M367" s="105"/>
    </row>
    <row r="368" spans="2:13">
      <c r="B368" s="125"/>
      <c r="C368" s="16"/>
      <c r="D368" s="31" t="s">
        <v>753</v>
      </c>
      <c r="E368" s="32" t="s">
        <v>748</v>
      </c>
      <c r="F368" s="13" t="b">
        <v>0</v>
      </c>
      <c r="G368" s="13" t="b">
        <v>0</v>
      </c>
      <c r="H368" s="13" t="b">
        <v>0</v>
      </c>
      <c r="I368" s="13" t="b">
        <v>0</v>
      </c>
      <c r="J368" s="13" t="b">
        <v>0</v>
      </c>
      <c r="K368" s="76"/>
      <c r="L368" s="105">
        <f>(BOHL01[[#This Row],[Column8]]-M368)</f>
        <v>0</v>
      </c>
      <c r="M368" s="76"/>
    </row>
    <row r="369" spans="2:13">
      <c r="B369" s="125"/>
      <c r="C369" s="16"/>
      <c r="D369" s="31" t="s">
        <v>754</v>
      </c>
      <c r="E369" s="32" t="s">
        <v>748</v>
      </c>
      <c r="F369" s="13" t="b">
        <v>0</v>
      </c>
      <c r="G369" s="13" t="b">
        <v>0</v>
      </c>
      <c r="H369" s="13" t="b">
        <v>0</v>
      </c>
      <c r="I369" s="13" t="b">
        <v>0</v>
      </c>
      <c r="J369" s="13" t="b">
        <v>0</v>
      </c>
      <c r="K369" s="105"/>
      <c r="L369" s="105">
        <f>(BOHL01[[#This Row],[Column8]]-M369)</f>
        <v>0</v>
      </c>
      <c r="M369" s="105"/>
    </row>
    <row r="370" spans="2:13">
      <c r="B370" s="125"/>
      <c r="C370" s="16"/>
      <c r="D370" s="31" t="s">
        <v>755</v>
      </c>
      <c r="E370" s="32" t="s">
        <v>756</v>
      </c>
      <c r="F370" s="13" t="b">
        <v>0</v>
      </c>
      <c r="G370" s="13" t="b">
        <v>0</v>
      </c>
      <c r="H370" s="13" t="b">
        <v>0</v>
      </c>
      <c r="I370" s="13" t="b">
        <v>0</v>
      </c>
      <c r="J370" s="13" t="b">
        <v>0</v>
      </c>
      <c r="K370" s="76"/>
      <c r="L370" s="105">
        <f>(BOHL01[[#This Row],[Column8]]-M370)</f>
        <v>0</v>
      </c>
      <c r="M370" s="76"/>
    </row>
    <row r="371" spans="2:13">
      <c r="B371" s="125"/>
      <c r="C371" s="16"/>
      <c r="D371" s="31" t="s">
        <v>757</v>
      </c>
      <c r="E371" s="32" t="s">
        <v>758</v>
      </c>
      <c r="F371" s="13" t="b">
        <v>0</v>
      </c>
      <c r="G371" s="13" t="b">
        <v>0</v>
      </c>
      <c r="H371" s="13" t="b">
        <v>0</v>
      </c>
      <c r="I371" s="13" t="b">
        <v>0</v>
      </c>
      <c r="J371" s="13" t="b">
        <v>0</v>
      </c>
      <c r="K371" s="105"/>
      <c r="L371" s="105">
        <f>(BOHL01[[#This Row],[Column8]]-M371)</f>
        <v>0</v>
      </c>
      <c r="M371" s="105"/>
    </row>
    <row r="372" spans="2:13">
      <c r="B372" s="125"/>
      <c r="C372" s="16"/>
      <c r="D372" s="31" t="s">
        <v>759</v>
      </c>
      <c r="E372" s="32" t="s">
        <v>760</v>
      </c>
      <c r="F372" s="13" t="b">
        <v>0</v>
      </c>
      <c r="G372" s="13" t="b">
        <v>0</v>
      </c>
      <c r="H372" s="13" t="b">
        <v>0</v>
      </c>
      <c r="I372" s="13" t="b">
        <v>0</v>
      </c>
      <c r="J372" s="13" t="b">
        <v>0</v>
      </c>
      <c r="K372" s="76"/>
      <c r="L372" s="105">
        <f>(BOHL01[[#This Row],[Column8]]-M372)</f>
        <v>0</v>
      </c>
      <c r="M372" s="76"/>
    </row>
    <row r="373" spans="2:13">
      <c r="B373" s="125"/>
      <c r="C373" s="16"/>
      <c r="D373" s="31" t="s">
        <v>761</v>
      </c>
      <c r="E373" s="32" t="s">
        <v>762</v>
      </c>
      <c r="F373" s="13" t="b">
        <v>0</v>
      </c>
      <c r="G373" s="13" t="b">
        <v>0</v>
      </c>
      <c r="H373" s="13" t="b">
        <v>0</v>
      </c>
      <c r="I373" s="13" t="b">
        <v>0</v>
      </c>
      <c r="J373" s="13" t="b">
        <v>0</v>
      </c>
      <c r="K373" s="105"/>
      <c r="L373" s="105">
        <f>(BOHL01[[#This Row],[Column8]]-M373)</f>
        <v>0</v>
      </c>
      <c r="M373" s="105"/>
    </row>
    <row r="374" spans="2:13">
      <c r="B374" s="125"/>
      <c r="C374" s="16"/>
      <c r="D374" s="31" t="s">
        <v>763</v>
      </c>
      <c r="E374" s="32" t="s">
        <v>764</v>
      </c>
      <c r="F374" s="13" t="b">
        <v>0</v>
      </c>
      <c r="G374" s="13" t="b">
        <v>0</v>
      </c>
      <c r="H374" s="13" t="b">
        <v>0</v>
      </c>
      <c r="I374" s="13" t="b">
        <v>0</v>
      </c>
      <c r="J374" s="13" t="b">
        <v>0</v>
      </c>
      <c r="K374" s="76"/>
      <c r="L374" s="105">
        <f>(BOHL01[[#This Row],[Column8]]-M374)</f>
        <v>0</v>
      </c>
      <c r="M374" s="76"/>
    </row>
    <row r="375" spans="2:13">
      <c r="B375" s="125"/>
      <c r="C375" s="16"/>
      <c r="D375" s="31" t="s">
        <v>892</v>
      </c>
      <c r="E375" s="32" t="s">
        <v>679</v>
      </c>
      <c r="F375" s="13" t="b">
        <v>0</v>
      </c>
      <c r="G375" s="13" t="b">
        <v>0</v>
      </c>
      <c r="H375" s="13" t="b">
        <v>0</v>
      </c>
      <c r="I375" s="13" t="b">
        <v>0</v>
      </c>
      <c r="J375" s="13" t="b">
        <v>0</v>
      </c>
      <c r="K375" s="12"/>
      <c r="L375" s="105">
        <f>(BOHL01[[#This Row],[Column8]]-M375)</f>
        <v>0</v>
      </c>
      <c r="M375" s="28"/>
    </row>
    <row r="376" spans="2:13">
      <c r="B376" s="125">
        <v>46124</v>
      </c>
      <c r="C376" s="16" t="s">
        <v>69</v>
      </c>
      <c r="D376" s="31" t="s">
        <v>765</v>
      </c>
      <c r="E376" s="32" t="s">
        <v>766</v>
      </c>
      <c r="F376" s="13" t="b">
        <v>1</v>
      </c>
      <c r="G376" s="13" t="b">
        <v>1</v>
      </c>
      <c r="H376" s="13" t="b">
        <v>0</v>
      </c>
      <c r="I376" s="13" t="b">
        <v>0</v>
      </c>
      <c r="J376" s="13" t="b">
        <v>0</v>
      </c>
      <c r="K376" s="105">
        <v>10</v>
      </c>
      <c r="L376" s="105">
        <f>(BOHL01[[#This Row],[Column8]]-M376)</f>
        <v>1</v>
      </c>
      <c r="M376" s="105">
        <v>9</v>
      </c>
    </row>
    <row r="377" spans="2:13">
      <c r="B377" s="125"/>
      <c r="C377" s="16"/>
      <c r="D377" s="31" t="s">
        <v>767</v>
      </c>
      <c r="E377" s="32" t="s">
        <v>768</v>
      </c>
      <c r="F377" s="13" t="b">
        <v>0</v>
      </c>
      <c r="G377" s="13" t="b">
        <v>0</v>
      </c>
      <c r="H377" s="13" t="b">
        <v>0</v>
      </c>
      <c r="I377" s="13" t="b">
        <v>0</v>
      </c>
      <c r="J377" s="13" t="b">
        <v>0</v>
      </c>
      <c r="K377" s="76"/>
      <c r="L377" s="105">
        <f>(BOHL01[[#This Row],[Column8]]-M377)</f>
        <v>0</v>
      </c>
      <c r="M377" s="76"/>
    </row>
    <row r="378" spans="2:13">
      <c r="B378" s="125"/>
      <c r="C378" s="16"/>
      <c r="D378" s="31" t="s">
        <v>769</v>
      </c>
      <c r="E378" s="32" t="s">
        <v>770</v>
      </c>
      <c r="F378" s="13" t="b">
        <v>0</v>
      </c>
      <c r="G378" s="13" t="b">
        <v>0</v>
      </c>
      <c r="H378" s="13" t="b">
        <v>0</v>
      </c>
      <c r="I378" s="13" t="b">
        <v>0</v>
      </c>
      <c r="J378" s="13" t="b">
        <v>0</v>
      </c>
      <c r="K378" s="105"/>
      <c r="L378" s="105">
        <f>(BOHL01[[#This Row],[Column8]]-M378)</f>
        <v>0</v>
      </c>
      <c r="M378" s="105"/>
    </row>
    <row r="379" spans="2:13">
      <c r="B379" s="125"/>
      <c r="C379" s="16"/>
      <c r="D379" s="31" t="s">
        <v>771</v>
      </c>
      <c r="E379" s="32" t="s">
        <v>772</v>
      </c>
      <c r="F379" s="13" t="b">
        <v>0</v>
      </c>
      <c r="G379" s="13" t="b">
        <v>0</v>
      </c>
      <c r="H379" s="13" t="b">
        <v>0</v>
      </c>
      <c r="I379" s="13" t="b">
        <v>0</v>
      </c>
      <c r="J379" s="13" t="b">
        <v>0</v>
      </c>
      <c r="K379" s="76"/>
      <c r="L379" s="105">
        <f>(BOHL01[[#This Row],[Column8]]-M379)</f>
        <v>0</v>
      </c>
      <c r="M379" s="76"/>
    </row>
    <row r="380" spans="2:13">
      <c r="B380" s="125"/>
      <c r="C380" s="16"/>
      <c r="D380" s="31" t="s">
        <v>773</v>
      </c>
      <c r="E380" s="32" t="s">
        <v>774</v>
      </c>
      <c r="F380" s="13" t="b">
        <v>0</v>
      </c>
      <c r="G380" s="13" t="b">
        <v>0</v>
      </c>
      <c r="H380" s="13" t="b">
        <v>0</v>
      </c>
      <c r="I380" s="13" t="b">
        <v>0</v>
      </c>
      <c r="J380" s="13" t="b">
        <v>0</v>
      </c>
      <c r="K380" s="105"/>
      <c r="L380" s="105">
        <f>(BOHL01[[#This Row],[Column8]]-M380)</f>
        <v>0</v>
      </c>
      <c r="M380" s="105"/>
    </row>
    <row r="381" spans="2:13">
      <c r="B381" s="125"/>
      <c r="C381" s="16"/>
      <c r="D381" s="31" t="s">
        <v>775</v>
      </c>
      <c r="E381" s="32" t="s">
        <v>776</v>
      </c>
      <c r="F381" s="13" t="b">
        <v>0</v>
      </c>
      <c r="G381" s="13" t="b">
        <v>0</v>
      </c>
      <c r="H381" s="13" t="b">
        <v>0</v>
      </c>
      <c r="I381" s="13" t="b">
        <v>0</v>
      </c>
      <c r="J381" s="13" t="b">
        <v>0</v>
      </c>
      <c r="K381" s="76"/>
      <c r="L381" s="105">
        <f>(BOHL01[[#This Row],[Column8]]-M381)</f>
        <v>0</v>
      </c>
      <c r="M381" s="76"/>
    </row>
    <row r="382" spans="2:13">
      <c r="B382" s="125"/>
      <c r="C382" s="16"/>
      <c r="D382" s="31" t="s">
        <v>777</v>
      </c>
      <c r="E382" s="32" t="s">
        <v>778</v>
      </c>
      <c r="F382" s="13" t="b">
        <v>0</v>
      </c>
      <c r="G382" s="13" t="b">
        <v>0</v>
      </c>
      <c r="H382" s="13" t="b">
        <v>0</v>
      </c>
      <c r="I382" s="13" t="b">
        <v>0</v>
      </c>
      <c r="J382" s="13" t="b">
        <v>0</v>
      </c>
      <c r="K382" s="105"/>
      <c r="L382" s="105">
        <f>(BOHL01[[#This Row],[Column8]]-M382)</f>
        <v>0</v>
      </c>
      <c r="M382" s="105"/>
    </row>
    <row r="383" spans="2:13">
      <c r="B383" s="125"/>
      <c r="C383" s="16"/>
      <c r="D383" s="31" t="s">
        <v>779</v>
      </c>
      <c r="E383" s="32" t="s">
        <v>780</v>
      </c>
      <c r="F383" s="13" t="b">
        <v>0</v>
      </c>
      <c r="G383" s="13" t="b">
        <v>0</v>
      </c>
      <c r="H383" s="13" t="b">
        <v>0</v>
      </c>
      <c r="I383" s="13" t="b">
        <v>0</v>
      </c>
      <c r="J383" s="13" t="b">
        <v>0</v>
      </c>
      <c r="K383" s="76"/>
      <c r="L383" s="105">
        <f>(BOHL01[[#This Row],[Column8]]-M383)</f>
        <v>0</v>
      </c>
      <c r="M383" s="76"/>
    </row>
    <row r="384" spans="2:13">
      <c r="B384" s="125">
        <v>46043</v>
      </c>
      <c r="C384" s="16" t="s">
        <v>66</v>
      </c>
      <c r="D384" s="30" t="s">
        <v>781</v>
      </c>
      <c r="E384" s="34" t="s">
        <v>272</v>
      </c>
      <c r="F384" s="13" t="b">
        <v>1</v>
      </c>
      <c r="G384" s="13" t="b">
        <v>1</v>
      </c>
      <c r="H384" s="13" t="b">
        <v>0</v>
      </c>
      <c r="I384" s="13" t="b">
        <v>0</v>
      </c>
      <c r="J384" s="13" t="b">
        <v>0</v>
      </c>
      <c r="K384" s="105">
        <v>23</v>
      </c>
      <c r="L384" s="105">
        <f>(BOHL01[[#This Row],[Column8]]-M384)</f>
        <v>10</v>
      </c>
      <c r="M384" s="105">
        <v>13</v>
      </c>
    </row>
    <row r="385" spans="2:13">
      <c r="B385" s="125"/>
      <c r="C385" s="16"/>
      <c r="D385" s="31" t="s">
        <v>782</v>
      </c>
      <c r="E385" s="32" t="s">
        <v>783</v>
      </c>
      <c r="F385" s="13" t="b">
        <v>0</v>
      </c>
      <c r="G385" s="13" t="b">
        <v>0</v>
      </c>
      <c r="H385" s="13" t="b">
        <v>0</v>
      </c>
      <c r="I385" s="13" t="b">
        <v>0</v>
      </c>
      <c r="J385" s="13" t="b">
        <v>0</v>
      </c>
      <c r="K385" s="76"/>
      <c r="L385" s="105">
        <f>(BOHL01[[#This Row],[Column8]]-M385)</f>
        <v>0</v>
      </c>
      <c r="M385" s="76"/>
    </row>
    <row r="386" spans="2:13">
      <c r="B386" s="125"/>
      <c r="C386" s="16"/>
      <c r="D386" s="31" t="s">
        <v>784</v>
      </c>
      <c r="E386" s="32" t="s">
        <v>679</v>
      </c>
      <c r="F386" s="13" t="b">
        <v>0</v>
      </c>
      <c r="G386" s="13" t="b">
        <v>0</v>
      </c>
      <c r="H386" s="13" t="b">
        <v>0</v>
      </c>
      <c r="I386" s="13" t="b">
        <v>0</v>
      </c>
      <c r="J386" s="13" t="b">
        <v>0</v>
      </c>
      <c r="K386" s="105"/>
      <c r="L386" s="105">
        <f>(BOHL01[[#This Row],[Column8]]-M386)</f>
        <v>0</v>
      </c>
      <c r="M386" s="105"/>
    </row>
    <row r="387" spans="2:13">
      <c r="B387" s="125"/>
      <c r="C387" s="16"/>
      <c r="D387" s="31" t="s">
        <v>785</v>
      </c>
      <c r="E387" s="32" t="s">
        <v>679</v>
      </c>
      <c r="F387" s="13" t="b">
        <v>0</v>
      </c>
      <c r="G387" s="13" t="b">
        <v>0</v>
      </c>
      <c r="H387" s="13" t="b">
        <v>0</v>
      </c>
      <c r="I387" s="13" t="b">
        <v>0</v>
      </c>
      <c r="J387" s="13" t="b">
        <v>0</v>
      </c>
      <c r="K387" s="76"/>
      <c r="L387" s="105">
        <f>(BOHL01[[#This Row],[Column8]]-M387)</f>
        <v>0</v>
      </c>
      <c r="M387" s="76"/>
    </row>
    <row r="388" spans="2:13">
      <c r="B388" s="125"/>
      <c r="C388" s="16"/>
      <c r="D388" s="31" t="s">
        <v>786</v>
      </c>
      <c r="E388" s="32" t="s">
        <v>679</v>
      </c>
      <c r="F388" s="13" t="b">
        <v>0</v>
      </c>
      <c r="G388" s="13" t="b">
        <v>0</v>
      </c>
      <c r="H388" s="13" t="b">
        <v>0</v>
      </c>
      <c r="I388" s="13" t="b">
        <v>0</v>
      </c>
      <c r="J388" s="13" t="b">
        <v>0</v>
      </c>
      <c r="K388" s="105"/>
      <c r="L388" s="105">
        <f>(BOHL01[[#This Row],[Column8]]-M388)</f>
        <v>0</v>
      </c>
      <c r="M388" s="105"/>
    </row>
    <row r="389" spans="2:13">
      <c r="D389" s="37"/>
      <c r="E389" s="38"/>
      <c r="F389" s="40"/>
      <c r="G389" s="40"/>
      <c r="H389" s="40"/>
      <c r="I389" s="40"/>
      <c r="J389" s="40"/>
      <c r="K389" s="40">
        <f>SUM(BOHL01[Column8])-46</f>
        <v>4079</v>
      </c>
      <c r="L389" s="40">
        <f>SUM(BOHL01[Column9])</f>
        <v>1614</v>
      </c>
      <c r="M389" s="41">
        <f>SUM(BOHL01[Column10])+69</f>
        <v>2580</v>
      </c>
    </row>
  </sheetData>
  <mergeCells count="3">
    <mergeCell ref="O71:P71"/>
    <mergeCell ref="R71:S71"/>
    <mergeCell ref="B2:C2"/>
  </mergeCells>
  <conditionalFormatting sqref="B276:C278 B376:C388 B309:C310 B7:C12 B14:C15 B95 B281:C282 B279:B280 B283 B89:C94 B284:C307 B17:C87 B96:C274 B312:C374">
    <cfRule type="expression" dxfId="153" priority="30">
      <formula>MOD(ROW(),2)=1</formula>
    </cfRule>
  </conditionalFormatting>
  <conditionalFormatting sqref="E83">
    <cfRule type="expression" dxfId="152" priority="29">
      <formula>MOD(ROW(),2)=1</formula>
    </cfRule>
  </conditionalFormatting>
  <conditionalFormatting sqref="E71">
    <cfRule type="expression" dxfId="151" priority="28">
      <formula>MOD(ROW(),2)=1</formula>
    </cfRule>
  </conditionalFormatting>
  <conditionalFormatting sqref="B275:C275">
    <cfRule type="expression" dxfId="150" priority="27">
      <formula>MOD(ROW(),2)=1</formula>
    </cfRule>
  </conditionalFormatting>
  <conditionalFormatting sqref="B311:C311">
    <cfRule type="expression" dxfId="149" priority="26">
      <formula>MOD(ROW(),2)=1</formula>
    </cfRule>
  </conditionalFormatting>
  <conditionalFormatting sqref="B375:C375">
    <cfRule type="expression" dxfId="148" priority="25">
      <formula>MOD(ROW(),2)=1</formula>
    </cfRule>
  </conditionalFormatting>
  <conditionalFormatting sqref="B308:C308">
    <cfRule type="expression" dxfId="147" priority="24">
      <formula>MOD(ROW(),2)=1</formula>
    </cfRule>
  </conditionalFormatting>
  <conditionalFormatting sqref="B13">
    <cfRule type="expression" dxfId="146" priority="23">
      <formula>MOD(ROW(),2)=1</formula>
    </cfRule>
  </conditionalFormatting>
  <conditionalFormatting sqref="C95:D95">
    <cfRule type="expression" dxfId="145" priority="22">
      <formula>MOD(ROW(),2)=1</formula>
    </cfRule>
  </conditionalFormatting>
  <conditionalFormatting sqref="B36">
    <cfRule type="expression" dxfId="144" priority="21">
      <formula>MOD(ROW(),2)=1</formula>
    </cfRule>
  </conditionalFormatting>
  <conditionalFormatting sqref="C279:C280">
    <cfRule type="expression" dxfId="143" priority="20">
      <formula>MOD(ROW(),2)=1</formula>
    </cfRule>
  </conditionalFormatting>
  <conditionalFormatting sqref="C283">
    <cfRule type="expression" dxfId="142" priority="19">
      <formula>MOD(ROW(),2)=1</formula>
    </cfRule>
  </conditionalFormatting>
  <conditionalFormatting sqref="C13">
    <cfRule type="expression" dxfId="141" priority="18">
      <formula>MOD(ROW(),2)=1</formula>
    </cfRule>
  </conditionalFormatting>
  <conditionalFormatting sqref="C88">
    <cfRule type="expression" dxfId="140" priority="17">
      <formula>MOD(ROW(),2)=1</formula>
    </cfRule>
  </conditionalFormatting>
  <conditionalFormatting sqref="U8:U40">
    <cfRule type="expression" dxfId="139" priority="15">
      <formula>MOD(ROW(),2)=1</formula>
    </cfRule>
  </conditionalFormatting>
  <conditionalFormatting sqref="B337">
    <cfRule type="expression" dxfId="138" priority="14">
      <formula>MOD(ROW(),2)=1</formula>
    </cfRule>
  </conditionalFormatting>
  <conditionalFormatting sqref="D71">
    <cfRule type="expression" dxfId="137" priority="13">
      <formula>MOD(ROW(),2)=1</formula>
    </cfRule>
  </conditionalFormatting>
  <conditionalFormatting sqref="D81">
    <cfRule type="expression" dxfId="136" priority="12">
      <formula>MOD(ROW(),2)=1</formula>
    </cfRule>
  </conditionalFormatting>
  <conditionalFormatting sqref="D83">
    <cfRule type="expression" dxfId="135" priority="11">
      <formula>MOD(ROW(),2)=1</formula>
    </cfRule>
  </conditionalFormatting>
  <conditionalFormatting sqref="D85">
    <cfRule type="expression" dxfId="134" priority="10">
      <formula>MOD(ROW(),2)=1</formula>
    </cfRule>
  </conditionalFormatting>
  <conditionalFormatting sqref="D87">
    <cfRule type="expression" dxfId="133" priority="9">
      <formula>MOD(ROW(),2)=1</formula>
    </cfRule>
  </conditionalFormatting>
  <conditionalFormatting sqref="D91">
    <cfRule type="expression" dxfId="132" priority="8">
      <formula>MOD(ROW(),2)=1</formula>
    </cfRule>
  </conditionalFormatting>
  <conditionalFormatting sqref="D97">
    <cfRule type="expression" dxfId="131" priority="7">
      <formula>MOD(ROW(),2)=1</formula>
    </cfRule>
  </conditionalFormatting>
  <conditionalFormatting sqref="D100">
    <cfRule type="expression" dxfId="130" priority="6">
      <formula>MOD(ROW(),2)=1</formula>
    </cfRule>
  </conditionalFormatting>
  <conditionalFormatting sqref="D103">
    <cfRule type="expression" dxfId="129" priority="5">
      <formula>MOD(ROW(),2)=1</formula>
    </cfRule>
  </conditionalFormatting>
  <conditionalFormatting sqref="D145">
    <cfRule type="expression" dxfId="128" priority="4">
      <formula>MOD(ROW(),2)=1</formula>
    </cfRule>
  </conditionalFormatting>
  <conditionalFormatting sqref="D181">
    <cfRule type="expression" dxfId="127" priority="3">
      <formula>MOD(ROW(),2)=1</formula>
    </cfRule>
  </conditionalFormatting>
  <conditionalFormatting sqref="D179">
    <cfRule type="expression" dxfId="126" priority="2">
      <formula>MOD(ROW(),2)=1</formula>
    </cfRule>
  </conditionalFormatting>
  <conditionalFormatting sqref="D182">
    <cfRule type="expression" dxfId="125" priority="1">
      <formula>MOD(ROW(),2)=1</formula>
    </cfRule>
  </conditionalFormatting>
  <dataValidations count="2">
    <dataValidation type="list" allowBlank="1" showInputMessage="1" showErrorMessage="1" sqref="U8" xr:uid="{E9C0F9FE-81DA-4CBE-8089-1E04DD2AF048}">
      <formula1>$V$7:$V$39</formula1>
    </dataValidation>
    <dataValidation type="list" allowBlank="1" showInputMessage="1" showErrorMessage="1" sqref="C1:C1048576" xr:uid="{59E95965-7F4E-4930-82AC-881ADAFDE88A}">
      <formula1>$U$8:$U$40</formula1>
    </dataValidation>
  </dataValidations>
  <hyperlinks>
    <hyperlink ref="B2:C2" location="MENU" display="MENU" xr:uid="{A3997C0D-197B-4972-8D34-55898CEFE6ED}"/>
  </hyperlink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25AA-C6B2-4F43-92AC-3273C876C90F}">
  <dimension ref="B2:Z46"/>
  <sheetViews>
    <sheetView topLeftCell="N1" workbookViewId="0">
      <selection activeCell="O6" sqref="O6:S11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31.28515625" style="81" customWidth="1"/>
    <col min="15" max="15" width="32.7109375" customWidth="1"/>
    <col min="16" max="16" width="32.85546875" customWidth="1"/>
    <col min="17" max="17" width="33.42578125" customWidth="1"/>
    <col min="18" max="18" width="35.85546875" customWidth="1"/>
    <col min="19" max="19" width="26.5703125" style="81" customWidth="1"/>
  </cols>
  <sheetData>
    <row r="2" spans="2:26" ht="46.5">
      <c r="B2" s="211" t="s">
        <v>30</v>
      </c>
      <c r="C2" s="211"/>
    </row>
    <row r="5" spans="2:26" ht="58.5" customHeight="1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Z5" s="104" t="s">
        <v>38</v>
      </c>
    </row>
    <row r="6" spans="2:26" ht="15" customHeight="1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  <c r="O6" s="218" t="s">
        <v>25</v>
      </c>
      <c r="P6" s="219"/>
      <c r="R6" s="218" t="s">
        <v>29</v>
      </c>
      <c r="S6" s="219"/>
    </row>
    <row r="7" spans="2:26">
      <c r="B7" s="125"/>
      <c r="C7" s="16"/>
      <c r="D7" s="31" t="s">
        <v>787</v>
      </c>
      <c r="E7" s="32" t="s">
        <v>788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76"/>
      <c r="L7" s="76"/>
      <c r="M7" s="76"/>
      <c r="O7" s="220"/>
      <c r="P7" s="221"/>
      <c r="R7" s="220"/>
      <c r="S7" s="221"/>
    </row>
    <row r="8" spans="2:26">
      <c r="B8" s="125"/>
      <c r="C8" s="16"/>
      <c r="D8" s="31" t="s">
        <v>789</v>
      </c>
      <c r="E8" s="32" t="s">
        <v>790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05"/>
      <c r="L8" s="105"/>
      <c r="M8" s="105"/>
      <c r="O8" s="222"/>
      <c r="P8" s="223"/>
      <c r="R8" s="222"/>
      <c r="S8" s="223"/>
    </row>
    <row r="9" spans="2:26" ht="15.75">
      <c r="B9" s="125"/>
      <c r="C9" s="16"/>
      <c r="D9" s="31" t="s">
        <v>791</v>
      </c>
      <c r="E9" s="32" t="s">
        <v>77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76"/>
      <c r="L9" s="76"/>
      <c r="M9" s="76"/>
      <c r="O9" s="199" t="s">
        <v>26</v>
      </c>
      <c r="P9" s="200">
        <f>P10+P11</f>
        <v>39</v>
      </c>
      <c r="R9" s="199" t="s">
        <v>26</v>
      </c>
      <c r="S9" s="200">
        <f>S10+S11</f>
        <v>39</v>
      </c>
    </row>
    <row r="10" spans="2:26" ht="24">
      <c r="B10" s="125"/>
      <c r="C10" s="16"/>
      <c r="D10" s="31" t="s">
        <v>792</v>
      </c>
      <c r="E10" s="32" t="s">
        <v>55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05"/>
      <c r="L10" s="105"/>
      <c r="M10" s="105"/>
      <c r="O10" s="194" t="s">
        <v>27</v>
      </c>
      <c r="P10" s="196">
        <f>COUNTIFS(F7:F45,TRUE)</f>
        <v>0</v>
      </c>
      <c r="R10" s="194" t="s">
        <v>27</v>
      </c>
      <c r="S10" s="196">
        <f>COUNTIFS(G7:G45,TRUE)</f>
        <v>0</v>
      </c>
    </row>
    <row r="11" spans="2:26" ht="15.75">
      <c r="B11" s="125"/>
      <c r="C11" s="16"/>
      <c r="D11" s="31" t="s">
        <v>793</v>
      </c>
      <c r="E11" s="32" t="s">
        <v>58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76"/>
      <c r="L11" s="76"/>
      <c r="M11" s="76"/>
      <c r="O11" s="195" t="s">
        <v>28</v>
      </c>
      <c r="P11" s="197">
        <f>COUNTIFS(F7:F45,FALSE)</f>
        <v>39</v>
      </c>
      <c r="R11" s="195" t="s">
        <v>28</v>
      </c>
      <c r="S11" s="197">
        <f>COUNTIFS(G7:G45,FALSE)</f>
        <v>39</v>
      </c>
    </row>
    <row r="12" spans="2:26" ht="15" customHeight="1">
      <c r="B12" s="125"/>
      <c r="C12" s="16"/>
      <c r="D12" s="31" t="s">
        <v>794</v>
      </c>
      <c r="E12" s="32" t="s">
        <v>93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05"/>
      <c r="L12" s="105"/>
      <c r="M12" s="105"/>
      <c r="O12" s="81"/>
    </row>
    <row r="13" spans="2:26" ht="15" customHeight="1">
      <c r="B13" s="125"/>
      <c r="C13" s="16"/>
      <c r="D13" s="31" t="s">
        <v>795</v>
      </c>
      <c r="E13" s="32" t="s">
        <v>58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76"/>
      <c r="L13" s="76"/>
      <c r="M13" s="76"/>
    </row>
    <row r="14" spans="2:26">
      <c r="B14" s="125"/>
      <c r="C14" s="16"/>
      <c r="D14" s="31" t="s">
        <v>796</v>
      </c>
      <c r="E14" s="32" t="s">
        <v>154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05"/>
      <c r="L14" s="105"/>
      <c r="M14" s="105"/>
    </row>
    <row r="15" spans="2:26">
      <c r="B15" s="125"/>
      <c r="C15" s="16"/>
      <c r="D15" s="31" t="s">
        <v>797</v>
      </c>
      <c r="E15" s="32" t="s">
        <v>58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76"/>
      <c r="L15" s="76"/>
      <c r="M15" s="76"/>
    </row>
    <row r="16" spans="2:26">
      <c r="B16" s="125"/>
      <c r="C16" s="16"/>
      <c r="D16" s="31" t="s">
        <v>798</v>
      </c>
      <c r="E16" s="32" t="s">
        <v>65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05"/>
      <c r="L16" s="105"/>
      <c r="M16" s="105"/>
    </row>
    <row r="17" spans="2:13">
      <c r="B17" s="125"/>
      <c r="C17" s="16"/>
      <c r="D17" s="31" t="s">
        <v>799</v>
      </c>
      <c r="E17" s="32" t="s">
        <v>65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76"/>
      <c r="L17" s="76"/>
      <c r="M17" s="76"/>
    </row>
    <row r="18" spans="2:13">
      <c r="B18" s="125"/>
      <c r="C18" s="16"/>
      <c r="D18" s="31" t="s">
        <v>800</v>
      </c>
      <c r="E18" s="32" t="s">
        <v>90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05"/>
      <c r="L18" s="105"/>
      <c r="M18" s="105"/>
    </row>
    <row r="19" spans="2:13">
      <c r="B19" s="125"/>
      <c r="C19" s="16"/>
      <c r="D19" s="31" t="s">
        <v>801</v>
      </c>
      <c r="E19" s="32" t="s">
        <v>50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76"/>
      <c r="L19" s="76"/>
      <c r="M19" s="76"/>
    </row>
    <row r="20" spans="2:13" ht="24">
      <c r="B20" s="125"/>
      <c r="C20" s="16"/>
      <c r="D20" s="31" t="s">
        <v>802</v>
      </c>
      <c r="E20" s="32" t="s">
        <v>61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05"/>
      <c r="L20" s="105"/>
      <c r="M20" s="105"/>
    </row>
    <row r="21" spans="2:13">
      <c r="B21" s="125"/>
      <c r="C21" s="16"/>
      <c r="D21" s="31" t="s">
        <v>803</v>
      </c>
      <c r="E21" s="32" t="s">
        <v>83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76"/>
      <c r="L21" s="76"/>
      <c r="M21" s="76"/>
    </row>
    <row r="22" spans="2:13">
      <c r="B22" s="125"/>
      <c r="C22" s="16"/>
      <c r="D22" s="31" t="s">
        <v>804</v>
      </c>
      <c r="E22" s="32" t="s">
        <v>50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05"/>
      <c r="L22" s="105"/>
      <c r="M22" s="105"/>
    </row>
    <row r="23" spans="2:13">
      <c r="B23" s="125"/>
      <c r="C23" s="16"/>
      <c r="D23" s="31" t="s">
        <v>805</v>
      </c>
      <c r="E23" s="32" t="s">
        <v>90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76"/>
      <c r="L23" s="76"/>
      <c r="M23" s="76"/>
    </row>
    <row r="24" spans="2:13">
      <c r="B24" s="125"/>
      <c r="C24" s="16"/>
      <c r="D24" s="31" t="s">
        <v>806</v>
      </c>
      <c r="E24" s="32" t="s">
        <v>58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05"/>
      <c r="L24" s="105"/>
      <c r="M24" s="105"/>
    </row>
    <row r="25" spans="2:13">
      <c r="B25" s="125"/>
      <c r="C25" s="16"/>
      <c r="D25" s="31" t="s">
        <v>807</v>
      </c>
      <c r="E25" s="32" t="s">
        <v>65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76"/>
      <c r="L25" s="76"/>
      <c r="M25" s="76"/>
    </row>
    <row r="26" spans="2:13">
      <c r="B26" s="125"/>
      <c r="C26" s="16"/>
      <c r="D26" s="31" t="s">
        <v>808</v>
      </c>
      <c r="E26" s="32" t="s">
        <v>90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05"/>
      <c r="L26" s="105"/>
      <c r="M26" s="105"/>
    </row>
    <row r="27" spans="2:13">
      <c r="B27" s="125"/>
      <c r="C27" s="16"/>
      <c r="D27" s="31" t="s">
        <v>809</v>
      </c>
      <c r="E27" s="32" t="s">
        <v>810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76"/>
      <c r="L27" s="76"/>
      <c r="M27" s="76"/>
    </row>
    <row r="28" spans="2:13">
      <c r="B28" s="125"/>
      <c r="C28" s="16"/>
      <c r="D28" s="31" t="s">
        <v>811</v>
      </c>
      <c r="E28" s="32" t="s">
        <v>812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05"/>
      <c r="L28" s="105"/>
      <c r="M28" s="105"/>
    </row>
    <row r="29" spans="2:13">
      <c r="B29" s="125"/>
      <c r="C29" s="16"/>
      <c r="D29" s="31" t="s">
        <v>813</v>
      </c>
      <c r="E29" s="32" t="s">
        <v>58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76"/>
      <c r="L29" s="76"/>
      <c r="M29" s="76"/>
    </row>
    <row r="30" spans="2:13">
      <c r="B30" s="125"/>
      <c r="C30" s="16"/>
      <c r="D30" s="31" t="s">
        <v>814</v>
      </c>
      <c r="E30" s="32" t="s">
        <v>812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05"/>
      <c r="L30" s="105"/>
      <c r="M30" s="105"/>
    </row>
    <row r="31" spans="2:13">
      <c r="B31" s="125"/>
      <c r="C31" s="16"/>
      <c r="D31" s="31" t="s">
        <v>815</v>
      </c>
      <c r="E31" s="32" t="s">
        <v>65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76"/>
      <c r="L31" s="76"/>
      <c r="M31" s="76"/>
    </row>
    <row r="32" spans="2:13">
      <c r="B32" s="125"/>
      <c r="C32" s="16"/>
      <c r="D32" s="31" t="s">
        <v>816</v>
      </c>
      <c r="E32" s="32" t="s">
        <v>98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05"/>
      <c r="L32" s="105"/>
      <c r="M32" s="105"/>
    </row>
    <row r="33" spans="2:13">
      <c r="B33" s="125"/>
      <c r="C33" s="16"/>
      <c r="D33" s="31" t="s">
        <v>817</v>
      </c>
      <c r="E33" s="32" t="s">
        <v>83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76"/>
      <c r="L33" s="76"/>
      <c r="M33" s="76"/>
    </row>
    <row r="34" spans="2:13">
      <c r="B34" s="125"/>
      <c r="C34" s="16"/>
      <c r="D34" s="31" t="s">
        <v>818</v>
      </c>
      <c r="E34" s="32" t="s">
        <v>93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05"/>
      <c r="L34" s="105"/>
      <c r="M34" s="105"/>
    </row>
    <row r="35" spans="2:13">
      <c r="B35" s="125"/>
      <c r="C35" s="16"/>
      <c r="D35" s="31" t="s">
        <v>819</v>
      </c>
      <c r="E35" s="32" t="s">
        <v>80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76"/>
      <c r="L35" s="76"/>
      <c r="M35" s="76"/>
    </row>
    <row r="36" spans="2:13">
      <c r="B36" s="125"/>
      <c r="C36" s="16"/>
      <c r="D36" s="31" t="s">
        <v>820</v>
      </c>
      <c r="E36" s="32" t="s">
        <v>790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05"/>
      <c r="L36" s="105"/>
      <c r="M36" s="105"/>
    </row>
    <row r="37" spans="2:13">
      <c r="B37" s="125"/>
      <c r="C37" s="16"/>
      <c r="D37" s="31" t="s">
        <v>820</v>
      </c>
      <c r="E37" s="32" t="s">
        <v>790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76"/>
      <c r="L37" s="76"/>
      <c r="M37" s="76"/>
    </row>
    <row r="38" spans="2:13">
      <c r="B38" s="125"/>
      <c r="C38" s="16"/>
      <c r="D38" s="31" t="s">
        <v>821</v>
      </c>
      <c r="E38" s="32" t="s">
        <v>173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05"/>
      <c r="L38" s="105"/>
      <c r="M38" s="105"/>
    </row>
    <row r="39" spans="2:13">
      <c r="B39" s="125"/>
      <c r="C39" s="16"/>
      <c r="D39" s="31" t="s">
        <v>822</v>
      </c>
      <c r="E39" s="32" t="s">
        <v>169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76"/>
      <c r="L39" s="76"/>
      <c r="M39" s="76"/>
    </row>
    <row r="40" spans="2:13">
      <c r="B40" s="125"/>
      <c r="C40" s="16"/>
      <c r="D40" s="31" t="s">
        <v>823</v>
      </c>
      <c r="E40" s="32" t="s">
        <v>74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05"/>
      <c r="L40" s="105"/>
      <c r="M40" s="105"/>
    </row>
    <row r="41" spans="2:13">
      <c r="B41" s="125"/>
      <c r="C41" s="16"/>
      <c r="D41" s="31" t="s">
        <v>824</v>
      </c>
      <c r="E41" s="32" t="s">
        <v>825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76"/>
      <c r="L41" s="76"/>
      <c r="M41" s="76"/>
    </row>
    <row r="42" spans="2:13">
      <c r="B42" s="125"/>
      <c r="C42" s="16"/>
      <c r="D42" s="31" t="s">
        <v>826</v>
      </c>
      <c r="E42" s="32" t="s">
        <v>77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05"/>
      <c r="L42" s="105"/>
      <c r="M42" s="105"/>
    </row>
    <row r="43" spans="2:13">
      <c r="B43" s="125"/>
      <c r="C43" s="16"/>
      <c r="D43" s="31" t="s">
        <v>827</v>
      </c>
      <c r="E43" s="32" t="s">
        <v>828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76"/>
      <c r="L43" s="76"/>
      <c r="M43" s="76"/>
    </row>
    <row r="44" spans="2:13">
      <c r="B44" s="125"/>
      <c r="C44" s="16"/>
      <c r="D44" s="31" t="s">
        <v>829</v>
      </c>
      <c r="E44" s="32" t="s">
        <v>165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05"/>
      <c r="L44" s="105"/>
      <c r="M44" s="105"/>
    </row>
    <row r="45" spans="2:13">
      <c r="B45" s="125"/>
      <c r="C45" s="16"/>
      <c r="D45" s="31" t="s">
        <v>830</v>
      </c>
      <c r="E45" s="32" t="s">
        <v>177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76"/>
      <c r="L45" s="76"/>
      <c r="M45" s="76"/>
    </row>
    <row r="46" spans="2:13">
      <c r="D46" s="37"/>
      <c r="E46" s="38"/>
      <c r="F46" s="40"/>
      <c r="G46" s="40"/>
      <c r="H46" s="40"/>
      <c r="I46" s="40"/>
      <c r="J46" s="40"/>
      <c r="K46" s="40">
        <f>SUM(Table25[Column8])</f>
        <v>0</v>
      </c>
      <c r="L46" s="40">
        <f>SUM(Table25[Column9])</f>
        <v>0</v>
      </c>
      <c r="M46" s="41">
        <f>SUM(Table25[Column10])</f>
        <v>0</v>
      </c>
    </row>
  </sheetData>
  <mergeCells count="3">
    <mergeCell ref="B2:C2"/>
    <mergeCell ref="R6:S8"/>
    <mergeCell ref="O6:P8"/>
  </mergeCells>
  <conditionalFormatting sqref="B7:C45">
    <cfRule type="expression" dxfId="99" priority="3">
      <formula>MOD(ROW(),2)=1</formula>
    </cfRule>
  </conditionalFormatting>
  <dataValidations count="1">
    <dataValidation type="list" allowBlank="1" showInputMessage="1" showErrorMessage="1" sqref="C1 C3:C1048576" xr:uid="{F5176BBF-9043-4B25-922B-F9281397A6A8}">
      <formula1>#REF!</formula1>
    </dataValidation>
  </dataValidations>
  <hyperlinks>
    <hyperlink ref="B2:C2" location="MENU" display="MENU" xr:uid="{13E659BA-9592-4F56-8E07-B3CF0F75B8D9}"/>
  </hyperlink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E7E3-1356-499B-981B-2B997DCFF294}">
  <dimension ref="B2:Z45"/>
  <sheetViews>
    <sheetView topLeftCell="N4" workbookViewId="0">
      <selection activeCell="O8" sqref="O8:S13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31.28515625" style="81" customWidth="1"/>
    <col min="15" max="15" width="22" customWidth="1"/>
    <col min="16" max="16" width="29.5703125" customWidth="1"/>
    <col min="17" max="17" width="28.5703125" customWidth="1"/>
    <col min="18" max="18" width="21.7109375" customWidth="1"/>
    <col min="19" max="19" width="20.42578125" style="81" customWidth="1"/>
  </cols>
  <sheetData>
    <row r="2" spans="2:26" ht="46.5">
      <c r="B2" s="211" t="s">
        <v>30</v>
      </c>
      <c r="C2" s="211"/>
    </row>
    <row r="5" spans="2:26" ht="60.75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Z5" s="104" t="s">
        <v>38</v>
      </c>
    </row>
    <row r="6" spans="2:26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</row>
    <row r="7" spans="2:26" ht="24">
      <c r="B7" s="125"/>
      <c r="C7" s="16"/>
      <c r="D7" s="31" t="s">
        <v>831</v>
      </c>
      <c r="E7" s="32" t="s">
        <v>832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05"/>
      <c r="L7" s="105"/>
      <c r="M7" s="105"/>
    </row>
    <row r="8" spans="2:26">
      <c r="B8" s="125"/>
      <c r="C8" s="16"/>
      <c r="D8" s="31" t="s">
        <v>833</v>
      </c>
      <c r="E8" s="32" t="s">
        <v>783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76"/>
      <c r="L8" s="76"/>
      <c r="M8" s="76"/>
      <c r="O8" s="218" t="s">
        <v>25</v>
      </c>
      <c r="P8" s="219"/>
      <c r="R8" s="218" t="s">
        <v>29</v>
      </c>
      <c r="S8" s="219"/>
    </row>
    <row r="9" spans="2:26">
      <c r="B9" s="125"/>
      <c r="C9" s="16"/>
      <c r="D9" s="31" t="s">
        <v>834</v>
      </c>
      <c r="E9" s="32" t="s">
        <v>835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05"/>
      <c r="L9" s="105"/>
      <c r="M9" s="105"/>
      <c r="O9" s="220"/>
      <c r="P9" s="221"/>
      <c r="R9" s="220"/>
      <c r="S9" s="221"/>
    </row>
    <row r="10" spans="2:26">
      <c r="B10" s="125"/>
      <c r="C10" s="16"/>
      <c r="D10" s="31" t="s">
        <v>836</v>
      </c>
      <c r="E10" s="32" t="s">
        <v>837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76"/>
      <c r="L10" s="76"/>
      <c r="M10" s="76"/>
      <c r="O10" s="222"/>
      <c r="P10" s="223"/>
      <c r="R10" s="222"/>
      <c r="S10" s="223"/>
    </row>
    <row r="11" spans="2:26" ht="15.75">
      <c r="B11" s="125"/>
      <c r="C11" s="16"/>
      <c r="D11" s="31" t="s">
        <v>838</v>
      </c>
      <c r="E11" s="32" t="s">
        <v>839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05"/>
      <c r="L11" s="105"/>
      <c r="M11" s="105"/>
      <c r="O11" s="199" t="s">
        <v>26</v>
      </c>
      <c r="P11" s="200">
        <f>P12+P13</f>
        <v>38</v>
      </c>
      <c r="R11" s="199" t="s">
        <v>26</v>
      </c>
      <c r="S11" s="200">
        <f>S12+S13</f>
        <v>38</v>
      </c>
    </row>
    <row r="12" spans="2:26" ht="15.75">
      <c r="B12" s="125"/>
      <c r="C12" s="16"/>
      <c r="D12" s="31" t="s">
        <v>840</v>
      </c>
      <c r="E12" s="32" t="s">
        <v>841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76"/>
      <c r="L12" s="76"/>
      <c r="M12" s="76"/>
      <c r="O12" s="194" t="s">
        <v>27</v>
      </c>
      <c r="P12" s="196">
        <f>COUNTIFS(F7:F44,TRUE)</f>
        <v>0</v>
      </c>
      <c r="R12" s="194" t="s">
        <v>27</v>
      </c>
      <c r="S12" s="196">
        <f>COUNTIFS(G7:G44,TRUE)</f>
        <v>0</v>
      </c>
    </row>
    <row r="13" spans="2:26" ht="24">
      <c r="B13" s="125"/>
      <c r="C13" s="16"/>
      <c r="D13" s="31" t="s">
        <v>842</v>
      </c>
      <c r="E13" s="32" t="s">
        <v>843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05"/>
      <c r="L13" s="105"/>
      <c r="M13" s="105"/>
      <c r="O13" s="195" t="s">
        <v>28</v>
      </c>
      <c r="P13" s="197">
        <f>COUNTIFS(F7:F44,FALSE)</f>
        <v>38</v>
      </c>
      <c r="R13" s="195" t="s">
        <v>28</v>
      </c>
      <c r="S13" s="197">
        <f>COUNTIFS(G7:G44,FALSE)</f>
        <v>38</v>
      </c>
    </row>
    <row r="14" spans="2:26">
      <c r="B14" s="125"/>
      <c r="C14" s="16"/>
      <c r="D14" s="31" t="s">
        <v>844</v>
      </c>
      <c r="E14" s="32" t="s">
        <v>845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76"/>
      <c r="L14" s="76"/>
      <c r="M14" s="76"/>
    </row>
    <row r="15" spans="2:26">
      <c r="B15" s="125"/>
      <c r="C15" s="16"/>
      <c r="D15" s="31" t="s">
        <v>846</v>
      </c>
      <c r="E15" s="32" t="s">
        <v>847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05"/>
      <c r="L15" s="105"/>
      <c r="M15" s="105"/>
    </row>
    <row r="16" spans="2:26">
      <c r="B16" s="125"/>
      <c r="C16" s="16"/>
      <c r="D16" s="31" t="s">
        <v>848</v>
      </c>
      <c r="E16" s="32" t="s">
        <v>849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76"/>
      <c r="L16" s="76"/>
      <c r="M16" s="76"/>
    </row>
    <row r="17" spans="2:13">
      <c r="B17" s="125"/>
      <c r="C17" s="16"/>
      <c r="D17" s="31" t="s">
        <v>850</v>
      </c>
      <c r="E17" s="32" t="s">
        <v>851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05"/>
      <c r="L17" s="105"/>
      <c r="M17" s="105"/>
    </row>
    <row r="18" spans="2:13">
      <c r="B18" s="125"/>
      <c r="C18" s="16"/>
      <c r="D18" s="31" t="s">
        <v>852</v>
      </c>
      <c r="E18" s="32" t="s">
        <v>839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76"/>
      <c r="L18" s="76"/>
      <c r="M18" s="76"/>
    </row>
    <row r="19" spans="2:13">
      <c r="B19" s="125"/>
      <c r="C19" s="16"/>
      <c r="D19" s="31" t="s">
        <v>853</v>
      </c>
      <c r="E19" s="32" t="s">
        <v>845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05"/>
      <c r="L19" s="105"/>
      <c r="M19" s="105"/>
    </row>
    <row r="20" spans="2:13">
      <c r="B20" s="125"/>
      <c r="C20" s="16"/>
      <c r="D20" s="31" t="s">
        <v>854</v>
      </c>
      <c r="E20" s="32" t="s">
        <v>851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2"/>
      <c r="L20" s="12"/>
      <c r="M20" s="28"/>
    </row>
    <row r="21" spans="2:13">
      <c r="B21" s="125"/>
      <c r="C21" s="16"/>
      <c r="D21" s="31" t="s">
        <v>855</v>
      </c>
      <c r="E21" s="32" t="s">
        <v>841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2"/>
      <c r="L21" s="12"/>
      <c r="M21" s="28"/>
    </row>
    <row r="22" spans="2:13">
      <c r="B22" s="125"/>
      <c r="C22" s="16"/>
      <c r="D22" s="31" t="s">
        <v>856</v>
      </c>
      <c r="E22" s="32" t="s">
        <v>857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2"/>
      <c r="L22" s="12"/>
      <c r="M22" s="28"/>
    </row>
    <row r="23" spans="2:13">
      <c r="B23" s="125"/>
      <c r="C23" s="16"/>
      <c r="D23" s="31" t="s">
        <v>858</v>
      </c>
      <c r="E23" s="32" t="s">
        <v>839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2"/>
      <c r="L23" s="12"/>
      <c r="M23" s="28"/>
    </row>
    <row r="24" spans="2:13">
      <c r="B24" s="125"/>
      <c r="C24" s="16"/>
      <c r="D24" s="31" t="s">
        <v>859</v>
      </c>
      <c r="E24" s="32" t="s">
        <v>847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2"/>
      <c r="L24" s="12"/>
      <c r="M24" s="28"/>
    </row>
    <row r="25" spans="2:13">
      <c r="B25" s="125"/>
      <c r="C25" s="16"/>
      <c r="D25" s="31" t="s">
        <v>860</v>
      </c>
      <c r="E25" s="32" t="s">
        <v>849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2"/>
      <c r="L25" s="12"/>
      <c r="M25" s="28"/>
    </row>
    <row r="26" spans="2:13">
      <c r="B26" s="125"/>
      <c r="C26" s="16"/>
      <c r="D26" s="31" t="s">
        <v>861</v>
      </c>
      <c r="E26" s="32" t="s">
        <v>851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2"/>
      <c r="L26" s="12"/>
      <c r="M26" s="28"/>
    </row>
    <row r="27" spans="2:13">
      <c r="B27" s="125"/>
      <c r="C27" s="16"/>
      <c r="D27" s="31" t="s">
        <v>862</v>
      </c>
      <c r="E27" s="32" t="s">
        <v>863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2"/>
      <c r="L27" s="12"/>
      <c r="M27" s="28"/>
    </row>
    <row r="28" spans="2:13" ht="24">
      <c r="B28" s="125"/>
      <c r="C28" s="16"/>
      <c r="D28" s="31" t="s">
        <v>864</v>
      </c>
      <c r="E28" s="32" t="s">
        <v>865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2"/>
      <c r="L28" s="12"/>
      <c r="M28" s="28"/>
    </row>
    <row r="29" spans="2:13">
      <c r="B29" s="125"/>
      <c r="C29" s="16"/>
      <c r="D29" s="31" t="s">
        <v>866</v>
      </c>
      <c r="E29" s="32" t="s">
        <v>399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2"/>
      <c r="L29" s="12"/>
      <c r="M29" s="28"/>
    </row>
    <row r="30" spans="2:13">
      <c r="B30" s="125"/>
      <c r="C30" s="16"/>
      <c r="D30" s="31" t="s">
        <v>867</v>
      </c>
      <c r="E30" s="32" t="s">
        <v>783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2"/>
      <c r="L30" s="12"/>
      <c r="M30" s="28"/>
    </row>
    <row r="31" spans="2:13">
      <c r="B31" s="125"/>
      <c r="C31" s="16"/>
      <c r="D31" s="31" t="s">
        <v>868</v>
      </c>
      <c r="E31" s="32" t="s">
        <v>71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2"/>
      <c r="L31" s="12"/>
      <c r="M31" s="28"/>
    </row>
    <row r="32" spans="2:13" ht="24">
      <c r="B32" s="125"/>
      <c r="C32" s="16"/>
      <c r="D32" s="31" t="s">
        <v>869</v>
      </c>
      <c r="E32" s="32" t="s">
        <v>870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2"/>
      <c r="L32" s="12"/>
      <c r="M32" s="28"/>
    </row>
    <row r="33" spans="2:13">
      <c r="B33" s="125"/>
      <c r="C33" s="16"/>
      <c r="D33" s="31" t="s">
        <v>871</v>
      </c>
      <c r="E33" s="32" t="s">
        <v>788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2"/>
      <c r="L33" s="12"/>
      <c r="M33" s="28"/>
    </row>
    <row r="34" spans="2:13">
      <c r="B34" s="125"/>
      <c r="C34" s="16"/>
      <c r="D34" s="31" t="s">
        <v>872</v>
      </c>
      <c r="E34" s="32" t="s">
        <v>71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2"/>
      <c r="L34" s="12"/>
      <c r="M34" s="28"/>
    </row>
    <row r="35" spans="2:13">
      <c r="B35" s="125"/>
      <c r="C35" s="16"/>
      <c r="D35" s="31" t="s">
        <v>873</v>
      </c>
      <c r="E35" s="32" t="s">
        <v>874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2"/>
      <c r="L35" s="12"/>
      <c r="M35" s="28"/>
    </row>
    <row r="36" spans="2:13">
      <c r="B36" s="125"/>
      <c r="C36" s="16"/>
      <c r="D36" s="31" t="s">
        <v>875</v>
      </c>
      <c r="E36" s="32" t="s">
        <v>876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2"/>
      <c r="L36" s="12"/>
      <c r="M36" s="28"/>
    </row>
    <row r="37" spans="2:13">
      <c r="B37" s="125"/>
      <c r="C37" s="16"/>
      <c r="D37" s="31" t="s">
        <v>877</v>
      </c>
      <c r="E37" s="32" t="s">
        <v>71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2"/>
      <c r="L37" s="12"/>
      <c r="M37" s="28"/>
    </row>
    <row r="38" spans="2:13">
      <c r="B38" s="125"/>
      <c r="C38" s="16"/>
      <c r="D38" s="31" t="s">
        <v>878</v>
      </c>
      <c r="E38" s="32" t="s">
        <v>863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2"/>
      <c r="L38" s="12"/>
      <c r="M38" s="28"/>
    </row>
    <row r="39" spans="2:13">
      <c r="B39" s="125"/>
      <c r="C39" s="16"/>
      <c r="D39" s="31" t="s">
        <v>879</v>
      </c>
      <c r="E39" s="32" t="s">
        <v>880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2"/>
      <c r="L39" s="12"/>
      <c r="M39" s="28"/>
    </row>
    <row r="40" spans="2:13">
      <c r="B40" s="125"/>
      <c r="C40" s="16"/>
      <c r="D40" s="31" t="s">
        <v>881</v>
      </c>
      <c r="E40" s="32" t="s">
        <v>882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2"/>
      <c r="L40" s="12"/>
      <c r="M40" s="28"/>
    </row>
    <row r="41" spans="2:13">
      <c r="B41" s="125"/>
      <c r="C41" s="16"/>
      <c r="D41" s="31" t="s">
        <v>883</v>
      </c>
      <c r="E41" s="32" t="s">
        <v>882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2"/>
      <c r="L41" s="12"/>
      <c r="M41" s="28"/>
    </row>
    <row r="42" spans="2:13">
      <c r="B42" s="125"/>
      <c r="C42" s="16"/>
      <c r="D42" s="31" t="s">
        <v>884</v>
      </c>
      <c r="E42" s="32" t="s">
        <v>885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2"/>
      <c r="L42" s="12"/>
      <c r="M42" s="28"/>
    </row>
    <row r="43" spans="2:13">
      <c r="B43" s="125"/>
      <c r="C43" s="16"/>
      <c r="D43" s="31" t="s">
        <v>886</v>
      </c>
      <c r="E43" s="32" t="s">
        <v>887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2"/>
      <c r="L43" s="12"/>
      <c r="M43" s="28"/>
    </row>
    <row r="44" spans="2:13">
      <c r="B44" s="125"/>
      <c r="C44" s="16"/>
      <c r="D44" s="31" t="s">
        <v>888</v>
      </c>
      <c r="E44" s="32" t="s">
        <v>889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2"/>
      <c r="L44" s="12"/>
      <c r="M44" s="28"/>
    </row>
    <row r="45" spans="2:13">
      <c r="D45" s="37"/>
      <c r="E45" s="38"/>
      <c r="F45" s="40"/>
      <c r="G45" s="40"/>
      <c r="H45" s="40"/>
      <c r="I45" s="40"/>
      <c r="J45" s="40"/>
      <c r="K45" s="40">
        <f>SUM(K7:K44)</f>
        <v>0</v>
      </c>
      <c r="L45" s="40">
        <f>SUM(L7:L44)</f>
        <v>0</v>
      </c>
      <c r="M45" s="41">
        <f>SUM(M7:M44)</f>
        <v>0</v>
      </c>
    </row>
  </sheetData>
  <mergeCells count="3">
    <mergeCell ref="B2:C2"/>
    <mergeCell ref="O8:P10"/>
    <mergeCell ref="R8:S10"/>
  </mergeCells>
  <conditionalFormatting sqref="B7:C44">
    <cfRule type="expression" dxfId="73" priority="3">
      <formula>MOD(ROW(),2)=1</formula>
    </cfRule>
  </conditionalFormatting>
  <dataValidations count="1">
    <dataValidation type="list" allowBlank="1" showInputMessage="1" showErrorMessage="1" sqref="C1 C3:C1048576" xr:uid="{15561B1E-FE24-4090-825A-81F39237B709}">
      <formula1>#REF!</formula1>
    </dataValidation>
  </dataValidations>
  <hyperlinks>
    <hyperlink ref="B2:C2" location="MENU" display="MENU" xr:uid="{B52A3F67-597F-4456-92A7-0348C611D8B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F66E-7785-4AA7-82C6-6037B51E7341}">
  <dimension ref="B2:Z55"/>
  <sheetViews>
    <sheetView topLeftCell="L7" workbookViewId="0">
      <selection activeCell="W29" sqref="W29"/>
    </sheetView>
  </sheetViews>
  <sheetFormatPr defaultRowHeight="15"/>
  <cols>
    <col min="2" max="2" width="15.140625" style="122" customWidth="1"/>
    <col min="3" max="3" width="24.28515625" style="81" customWidth="1"/>
    <col min="4" max="4" width="19.140625" customWidth="1"/>
    <col min="5" max="5" width="26.85546875" customWidth="1"/>
    <col min="6" max="6" width="23.5703125" customWidth="1"/>
    <col min="7" max="7" width="27.28515625" customWidth="1"/>
    <col min="8" max="8" width="20" customWidth="1"/>
    <col min="9" max="9" width="21.42578125" customWidth="1"/>
    <col min="10" max="10" width="23.28515625" customWidth="1"/>
    <col min="11" max="12" width="11.42578125" bestFit="1" customWidth="1"/>
    <col min="13" max="13" width="12.42578125" bestFit="1" customWidth="1"/>
    <col min="14" max="14" width="31.28515625" style="81" customWidth="1"/>
    <col min="15" max="15" width="22" customWidth="1"/>
    <col min="16" max="16" width="29.5703125" customWidth="1"/>
    <col min="17" max="17" width="28.5703125" customWidth="1"/>
    <col min="18" max="18" width="23.85546875" customWidth="1"/>
    <col min="19" max="19" width="22.5703125" style="81" customWidth="1"/>
  </cols>
  <sheetData>
    <row r="2" spans="2:26" ht="46.5">
      <c r="B2" s="211" t="s">
        <v>30</v>
      </c>
      <c r="C2" s="211"/>
    </row>
    <row r="5" spans="2:26" ht="58.5" customHeight="1">
      <c r="B5" s="123" t="s">
        <v>31</v>
      </c>
      <c r="C5" s="61" t="s">
        <v>32</v>
      </c>
      <c r="D5" s="63" t="s">
        <v>33</v>
      </c>
      <c r="E5" s="64" t="s">
        <v>34</v>
      </c>
      <c r="F5" s="65" t="s">
        <v>25</v>
      </c>
      <c r="G5" s="65" t="s">
        <v>29</v>
      </c>
      <c r="H5" s="65" t="s">
        <v>35</v>
      </c>
      <c r="I5" s="65" t="s">
        <v>36</v>
      </c>
      <c r="J5" s="65" t="s">
        <v>37</v>
      </c>
      <c r="K5" s="46" t="s">
        <v>2</v>
      </c>
      <c r="L5" s="46" t="s">
        <v>3</v>
      </c>
      <c r="M5" s="121" t="s">
        <v>4</v>
      </c>
      <c r="N5"/>
      <c r="S5"/>
      <c r="Z5" s="104" t="s">
        <v>38</v>
      </c>
    </row>
    <row r="6" spans="2:26">
      <c r="D6" s="5" t="s">
        <v>39</v>
      </c>
      <c r="E6" s="1" t="s">
        <v>40</v>
      </c>
      <c r="F6" s="8" t="s">
        <v>41</v>
      </c>
      <c r="G6" s="8" t="s">
        <v>42</v>
      </c>
      <c r="H6" s="9" t="s">
        <v>43</v>
      </c>
      <c r="I6" s="9" t="s">
        <v>44</v>
      </c>
      <c r="J6" s="9" t="s">
        <v>45</v>
      </c>
      <c r="K6" s="6" t="s">
        <v>46</v>
      </c>
      <c r="L6" s="6" t="s">
        <v>47</v>
      </c>
      <c r="M6" s="7" t="s">
        <v>48</v>
      </c>
    </row>
    <row r="7" spans="2:26">
      <c r="B7" s="125"/>
      <c r="C7" s="16"/>
      <c r="D7" s="31" t="s">
        <v>893</v>
      </c>
      <c r="E7" s="32" t="s">
        <v>894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2"/>
      <c r="L7" s="12"/>
      <c r="M7" s="28"/>
    </row>
    <row r="8" spans="2:26">
      <c r="B8" s="125"/>
      <c r="C8" s="16"/>
      <c r="D8" s="31" t="s">
        <v>895</v>
      </c>
      <c r="E8" s="32" t="s">
        <v>896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2"/>
      <c r="L8" s="12"/>
      <c r="M8" s="28"/>
    </row>
    <row r="9" spans="2:26">
      <c r="B9" s="125"/>
      <c r="C9" s="16"/>
      <c r="D9" s="31" t="s">
        <v>897</v>
      </c>
      <c r="E9" s="32" t="s">
        <v>898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2"/>
      <c r="L9" s="12"/>
      <c r="M9" s="28"/>
    </row>
    <row r="10" spans="2:26">
      <c r="B10" s="125"/>
      <c r="C10" s="16"/>
      <c r="D10" s="31" t="s">
        <v>899</v>
      </c>
      <c r="E10" s="32" t="s">
        <v>900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2"/>
      <c r="L10" s="12"/>
      <c r="M10" s="28"/>
    </row>
    <row r="11" spans="2:26">
      <c r="B11" s="125"/>
      <c r="C11" s="16"/>
      <c r="D11" s="31" t="s">
        <v>901</v>
      </c>
      <c r="E11" s="32" t="s">
        <v>272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2"/>
      <c r="L11" s="12"/>
      <c r="M11" s="28"/>
    </row>
    <row r="12" spans="2:26">
      <c r="B12" s="125"/>
      <c r="C12" s="16"/>
      <c r="D12" s="31" t="s">
        <v>902</v>
      </c>
      <c r="E12" s="32" t="s">
        <v>903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2"/>
      <c r="L12" s="12"/>
      <c r="M12" s="28"/>
    </row>
    <row r="13" spans="2:26" ht="28.5" customHeight="1">
      <c r="B13" s="125"/>
      <c r="C13" s="16"/>
      <c r="D13" s="31" t="s">
        <v>904</v>
      </c>
      <c r="E13" s="32" t="s">
        <v>905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2"/>
      <c r="L13" s="12"/>
      <c r="M13" s="28"/>
      <c r="O13" s="218" t="s">
        <v>25</v>
      </c>
      <c r="P13" s="219"/>
      <c r="R13" s="218" t="s">
        <v>29</v>
      </c>
      <c r="S13" s="219"/>
    </row>
    <row r="14" spans="2:26">
      <c r="B14" s="125"/>
      <c r="C14" s="16"/>
      <c r="D14" s="31" t="s">
        <v>906</v>
      </c>
      <c r="E14" s="32" t="s">
        <v>907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2"/>
      <c r="L14" s="12"/>
      <c r="M14" s="28"/>
      <c r="O14" s="220"/>
      <c r="P14" s="221"/>
      <c r="R14" s="220"/>
      <c r="S14" s="221"/>
    </row>
    <row r="15" spans="2:26">
      <c r="B15" s="125"/>
      <c r="C15" s="16"/>
      <c r="D15" s="31" t="s">
        <v>908</v>
      </c>
      <c r="E15" s="32" t="s">
        <v>909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2"/>
      <c r="L15" s="12"/>
      <c r="M15" s="28"/>
      <c r="O15" s="222"/>
      <c r="P15" s="223"/>
      <c r="R15" s="222"/>
      <c r="S15" s="223"/>
    </row>
    <row r="16" spans="2:26" ht="24">
      <c r="B16" s="125"/>
      <c r="C16" s="16"/>
      <c r="D16" s="31" t="s">
        <v>910</v>
      </c>
      <c r="E16" s="32" t="s">
        <v>911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2"/>
      <c r="L16" s="12"/>
      <c r="M16" s="28"/>
      <c r="O16" s="199" t="s">
        <v>26</v>
      </c>
      <c r="P16" s="200">
        <f>P17+P18</f>
        <v>48</v>
      </c>
      <c r="R16" s="199" t="s">
        <v>26</v>
      </c>
      <c r="S16" s="200">
        <f>S17+S18</f>
        <v>48</v>
      </c>
    </row>
    <row r="17" spans="2:19" ht="24">
      <c r="B17" s="125"/>
      <c r="C17" s="16"/>
      <c r="D17" s="31" t="s">
        <v>912</v>
      </c>
      <c r="E17" s="32" t="s">
        <v>913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2"/>
      <c r="L17" s="12"/>
      <c r="M17" s="28"/>
      <c r="O17" s="194" t="s">
        <v>27</v>
      </c>
      <c r="P17" s="196">
        <f>COUNTIFS(F7:F54,TRUE)</f>
        <v>0</v>
      </c>
      <c r="R17" s="194" t="s">
        <v>27</v>
      </c>
      <c r="S17" s="196">
        <f>COUNTIFS(G7:G54,TRUE)</f>
        <v>0</v>
      </c>
    </row>
    <row r="18" spans="2:19" ht="15.75">
      <c r="B18" s="125"/>
      <c r="C18" s="16"/>
      <c r="D18" s="31" t="s">
        <v>914</v>
      </c>
      <c r="E18" s="32" t="s">
        <v>915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2"/>
      <c r="L18" s="12"/>
      <c r="M18" s="28"/>
      <c r="O18" s="195" t="s">
        <v>28</v>
      </c>
      <c r="P18" s="197">
        <f>COUNTIFS(F7:F54,FALSE)</f>
        <v>48</v>
      </c>
      <c r="R18" s="195" t="s">
        <v>28</v>
      </c>
      <c r="S18" s="197">
        <f>COUNTIFS(G7:G54,FALSE)</f>
        <v>48</v>
      </c>
    </row>
    <row r="19" spans="2:19">
      <c r="B19" s="125"/>
      <c r="C19" s="16"/>
      <c r="D19" s="31" t="s">
        <v>916</v>
      </c>
      <c r="E19" s="32" t="s">
        <v>917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2"/>
      <c r="L19" s="12"/>
      <c r="M19" s="28"/>
    </row>
    <row r="20" spans="2:19">
      <c r="B20" s="125"/>
      <c r="C20" s="16"/>
      <c r="D20" s="31" t="s">
        <v>918</v>
      </c>
      <c r="E20" s="32" t="s">
        <v>272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2"/>
      <c r="L20" s="12"/>
      <c r="M20" s="28"/>
    </row>
    <row r="21" spans="2:19">
      <c r="B21" s="125"/>
      <c r="C21" s="16"/>
      <c r="D21" s="31" t="s">
        <v>919</v>
      </c>
      <c r="E21" s="32" t="s">
        <v>920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2"/>
      <c r="L21" s="12"/>
      <c r="M21" s="28"/>
    </row>
    <row r="22" spans="2:19">
      <c r="B22" s="125"/>
      <c r="C22" s="16"/>
      <c r="D22" s="31" t="s">
        <v>921</v>
      </c>
      <c r="E22" s="32" t="s">
        <v>835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2"/>
      <c r="L22" s="12"/>
      <c r="M22" s="28"/>
    </row>
    <row r="23" spans="2:19">
      <c r="B23" s="125"/>
      <c r="C23" s="16"/>
      <c r="D23" s="31" t="s">
        <v>922</v>
      </c>
      <c r="E23" s="32" t="s">
        <v>839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2"/>
      <c r="L23" s="12"/>
      <c r="M23" s="28"/>
    </row>
    <row r="24" spans="2:19">
      <c r="B24" s="125"/>
      <c r="C24" s="16"/>
      <c r="D24" s="31" t="s">
        <v>923</v>
      </c>
      <c r="E24" s="32" t="s">
        <v>845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2"/>
      <c r="L24" s="12"/>
      <c r="M24" s="28"/>
    </row>
    <row r="25" spans="2:19">
      <c r="B25" s="125"/>
      <c r="C25" s="16"/>
      <c r="D25" s="31" t="s">
        <v>924</v>
      </c>
      <c r="E25" s="32" t="s">
        <v>845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2"/>
      <c r="L25" s="12"/>
      <c r="M25" s="28"/>
    </row>
    <row r="26" spans="2:19">
      <c r="B26" s="125"/>
      <c r="C26" s="16"/>
      <c r="D26" s="31" t="s">
        <v>925</v>
      </c>
      <c r="E26" s="32" t="s">
        <v>857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2"/>
      <c r="L26" s="12"/>
      <c r="M26" s="28"/>
    </row>
    <row r="27" spans="2:19">
      <c r="B27" s="125"/>
      <c r="C27" s="16"/>
      <c r="D27" s="31" t="s">
        <v>926</v>
      </c>
      <c r="E27" s="32" t="s">
        <v>927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2"/>
      <c r="L27" s="12"/>
      <c r="M27" s="28"/>
    </row>
    <row r="28" spans="2:19">
      <c r="B28" s="125"/>
      <c r="C28" s="16"/>
      <c r="D28" s="31" t="s">
        <v>928</v>
      </c>
      <c r="E28" s="32" t="s">
        <v>929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2"/>
      <c r="L28" s="12"/>
      <c r="M28" s="28"/>
    </row>
    <row r="29" spans="2:19">
      <c r="B29" s="125"/>
      <c r="C29" s="16"/>
      <c r="D29" s="31" t="s">
        <v>930</v>
      </c>
      <c r="E29" s="32" t="s">
        <v>849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2"/>
      <c r="L29" s="12"/>
      <c r="M29" s="28"/>
    </row>
    <row r="30" spans="2:19">
      <c r="B30" s="125"/>
      <c r="C30" s="16"/>
      <c r="D30" s="31" t="s">
        <v>931</v>
      </c>
      <c r="E30" s="32" t="s">
        <v>849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2"/>
      <c r="L30" s="12"/>
      <c r="M30" s="28"/>
    </row>
    <row r="31" spans="2:19" ht="24">
      <c r="B31" s="125"/>
      <c r="C31" s="16"/>
      <c r="D31" s="31" t="s">
        <v>932</v>
      </c>
      <c r="E31" s="32" t="s">
        <v>870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2"/>
      <c r="L31" s="12"/>
      <c r="M31" s="28"/>
    </row>
    <row r="32" spans="2:19">
      <c r="B32" s="125"/>
      <c r="C32" s="16"/>
      <c r="D32" s="31" t="s">
        <v>933</v>
      </c>
      <c r="E32" s="32" t="s">
        <v>920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2"/>
      <c r="L32" s="12"/>
      <c r="M32" s="28"/>
    </row>
    <row r="33" spans="2:13">
      <c r="B33" s="125"/>
      <c r="C33" s="16"/>
      <c r="D33" s="31" t="s">
        <v>934</v>
      </c>
      <c r="E33" s="32" t="s">
        <v>935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2"/>
      <c r="L33" s="12"/>
      <c r="M33" s="28"/>
    </row>
    <row r="34" spans="2:13">
      <c r="B34" s="125"/>
      <c r="C34" s="16"/>
      <c r="D34" s="31" t="s">
        <v>936</v>
      </c>
      <c r="E34" s="32" t="s">
        <v>937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2"/>
      <c r="L34" s="12"/>
      <c r="M34" s="28"/>
    </row>
    <row r="35" spans="2:13">
      <c r="B35" s="125"/>
      <c r="C35" s="16"/>
      <c r="D35" s="31" t="s">
        <v>938</v>
      </c>
      <c r="E35" s="32" t="s">
        <v>851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2"/>
      <c r="L35" s="12"/>
      <c r="M35" s="28"/>
    </row>
    <row r="36" spans="2:13">
      <c r="B36" s="125"/>
      <c r="C36" s="16"/>
      <c r="D36" s="31" t="s">
        <v>939</v>
      </c>
      <c r="E36" s="32" t="s">
        <v>917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2"/>
      <c r="L36" s="12"/>
      <c r="M36" s="28"/>
    </row>
    <row r="37" spans="2:13">
      <c r="B37" s="125"/>
      <c r="C37" s="16"/>
      <c r="D37" s="31" t="s">
        <v>940</v>
      </c>
      <c r="E37" s="32" t="s">
        <v>941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2"/>
      <c r="L37" s="12"/>
      <c r="M37" s="28"/>
    </row>
    <row r="38" spans="2:13">
      <c r="B38" s="125"/>
      <c r="C38" s="16"/>
      <c r="D38" s="31" t="s">
        <v>942</v>
      </c>
      <c r="E38" s="32" t="s">
        <v>783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2"/>
      <c r="L38" s="12"/>
      <c r="M38" s="28"/>
    </row>
    <row r="39" spans="2:13">
      <c r="B39" s="125"/>
      <c r="C39" s="16"/>
      <c r="D39" s="31" t="s">
        <v>943</v>
      </c>
      <c r="E39" s="32" t="s">
        <v>851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2"/>
      <c r="L39" s="12"/>
      <c r="M39" s="28"/>
    </row>
    <row r="40" spans="2:13">
      <c r="B40" s="125"/>
      <c r="C40" s="16"/>
      <c r="D40" s="31" t="s">
        <v>944</v>
      </c>
      <c r="E40" s="32" t="s">
        <v>863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2"/>
      <c r="L40" s="12"/>
      <c r="M40" s="28"/>
    </row>
    <row r="41" spans="2:13">
      <c r="B41" s="125"/>
      <c r="C41" s="16"/>
      <c r="D41" s="31" t="s">
        <v>945</v>
      </c>
      <c r="E41" s="32" t="s">
        <v>946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2"/>
      <c r="L41" s="12"/>
      <c r="M41" s="28"/>
    </row>
    <row r="42" spans="2:13">
      <c r="B42" s="125"/>
      <c r="C42" s="16"/>
      <c r="D42" s="31" t="s">
        <v>947</v>
      </c>
      <c r="E42" s="32" t="s">
        <v>839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2"/>
      <c r="L42" s="12"/>
      <c r="M42" s="28"/>
    </row>
    <row r="43" spans="2:13">
      <c r="B43" s="125"/>
      <c r="C43" s="16"/>
      <c r="D43" s="31" t="s">
        <v>948</v>
      </c>
      <c r="E43" s="32" t="s">
        <v>847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2"/>
      <c r="L43" s="12"/>
      <c r="M43" s="28"/>
    </row>
    <row r="44" spans="2:13">
      <c r="B44" s="125"/>
      <c r="C44" s="16"/>
      <c r="D44" s="31" t="s">
        <v>949</v>
      </c>
      <c r="E44" s="32" t="s">
        <v>874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2"/>
      <c r="L44" s="12"/>
      <c r="M44" s="28"/>
    </row>
    <row r="45" spans="2:13">
      <c r="B45" s="125"/>
      <c r="C45" s="16"/>
      <c r="D45" s="31" t="s">
        <v>950</v>
      </c>
      <c r="E45" s="32" t="s">
        <v>783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2"/>
      <c r="L45" s="12"/>
      <c r="M45" s="28"/>
    </row>
    <row r="46" spans="2:13">
      <c r="B46" s="125"/>
      <c r="C46" s="16"/>
      <c r="D46" s="31" t="s">
        <v>951</v>
      </c>
      <c r="E46" s="32" t="s">
        <v>880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2"/>
      <c r="L46" s="12"/>
      <c r="M46" s="28"/>
    </row>
    <row r="47" spans="2:13">
      <c r="B47" s="125"/>
      <c r="C47" s="16"/>
      <c r="D47" s="31" t="s">
        <v>952</v>
      </c>
      <c r="E47" s="32" t="s">
        <v>889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12"/>
      <c r="L47" s="12"/>
      <c r="M47" s="28"/>
    </row>
    <row r="48" spans="2:13">
      <c r="B48" s="125"/>
      <c r="C48" s="16"/>
      <c r="D48" s="31" t="s">
        <v>953</v>
      </c>
      <c r="E48" s="32" t="s">
        <v>954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2"/>
      <c r="L48" s="12"/>
      <c r="M48" s="28"/>
    </row>
    <row r="49" spans="2:13">
      <c r="B49" s="125"/>
      <c r="C49" s="16"/>
      <c r="D49" s="31" t="s">
        <v>955</v>
      </c>
      <c r="E49" s="32" t="s">
        <v>956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2"/>
      <c r="L49" s="12"/>
      <c r="M49" s="28"/>
    </row>
    <row r="50" spans="2:13">
      <c r="B50" s="125"/>
      <c r="C50" s="16"/>
      <c r="D50" s="31" t="s">
        <v>957</v>
      </c>
      <c r="E50" s="32" t="s">
        <v>863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2"/>
      <c r="L50" s="12"/>
      <c r="M50" s="28"/>
    </row>
    <row r="51" spans="2:13" ht="36">
      <c r="B51" s="125"/>
      <c r="C51" s="16"/>
      <c r="D51" s="31" t="s">
        <v>958</v>
      </c>
      <c r="E51" s="32" t="s">
        <v>959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2"/>
      <c r="L51" s="12"/>
      <c r="M51" s="28"/>
    </row>
    <row r="52" spans="2:13">
      <c r="B52" s="125"/>
      <c r="C52" s="16"/>
      <c r="D52" s="31" t="s">
        <v>960</v>
      </c>
      <c r="E52" s="32" t="s">
        <v>961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2"/>
      <c r="L52" s="12"/>
      <c r="M52" s="28"/>
    </row>
    <row r="53" spans="2:13">
      <c r="B53" s="125"/>
      <c r="C53" s="16"/>
      <c r="D53" s="31" t="s">
        <v>962</v>
      </c>
      <c r="E53" s="32" t="s">
        <v>874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12"/>
      <c r="L53" s="12"/>
      <c r="M53" s="28"/>
    </row>
    <row r="54" spans="2:13">
      <c r="B54" s="125"/>
      <c r="C54" s="16"/>
      <c r="D54" s="31" t="s">
        <v>963</v>
      </c>
      <c r="E54" s="32" t="s">
        <v>964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2"/>
      <c r="L54" s="12"/>
      <c r="M54" s="28"/>
    </row>
    <row r="55" spans="2:13">
      <c r="D55" s="37"/>
      <c r="E55" s="38"/>
      <c r="F55" s="40"/>
      <c r="G55" s="40"/>
      <c r="H55" s="40"/>
      <c r="I55" s="40"/>
      <c r="J55" s="40"/>
      <c r="K55" s="40">
        <f>SUM(Table27[Column8])</f>
        <v>0</v>
      </c>
      <c r="L55" s="40">
        <f>SUM(Table27[Column9])</f>
        <v>0</v>
      </c>
      <c r="M55" s="41">
        <f>SUM(Table27[Column10])</f>
        <v>0</v>
      </c>
    </row>
  </sheetData>
  <mergeCells count="3">
    <mergeCell ref="B2:C2"/>
    <mergeCell ref="O13:P15"/>
    <mergeCell ref="R13:S15"/>
  </mergeCells>
  <conditionalFormatting sqref="B7:C54">
    <cfRule type="expression" dxfId="57" priority="3">
      <formula>MOD(ROW(),2)=1</formula>
    </cfRule>
  </conditionalFormatting>
  <dataValidations count="1">
    <dataValidation type="list" allowBlank="1" showInputMessage="1" showErrorMessage="1" sqref="C1 C3:C1048576" xr:uid="{A9F9336C-BD09-4043-AC6B-11B97411CA3F}">
      <formula1>#REF!</formula1>
    </dataValidation>
  </dataValidations>
  <hyperlinks>
    <hyperlink ref="B2:C2" location="MENU" display="MENU" xr:uid="{C205E2C6-A957-484C-BF12-63C3DEE69339}"/>
  </hyperlink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066-03DD-477D-84EB-23657178F8C6}">
  <dimension ref="B2:R90"/>
  <sheetViews>
    <sheetView topLeftCell="A46" workbookViewId="0">
      <selection activeCell="E61" sqref="E61"/>
    </sheetView>
  </sheetViews>
  <sheetFormatPr defaultRowHeight="15"/>
  <cols>
    <col min="2" max="2" width="17.85546875" customWidth="1"/>
    <col min="3" max="3" width="20.42578125" customWidth="1"/>
    <col min="4" max="4" width="10.85546875" bestFit="1" customWidth="1"/>
    <col min="5" max="5" width="18.7109375" customWidth="1"/>
    <col min="6" max="6" width="18.42578125" customWidth="1"/>
    <col min="7" max="7" width="20.28515625" customWidth="1"/>
    <col min="8" max="8" width="18.7109375" customWidth="1"/>
    <col min="9" max="9" width="19.85546875" customWidth="1"/>
    <col min="15" max="15" width="34" customWidth="1"/>
    <col min="16" max="16" width="34.7109375" customWidth="1"/>
    <col min="17" max="17" width="35.28515625" customWidth="1"/>
    <col min="18" max="18" width="29.7109375" customWidth="1"/>
  </cols>
  <sheetData>
    <row r="2" spans="2:18" ht="46.5">
      <c r="B2" s="211" t="s">
        <v>30</v>
      </c>
      <c r="C2" s="211"/>
    </row>
    <row r="4" spans="2:18" ht="100.5" customHeight="1">
      <c r="B4" s="167" t="s">
        <v>977</v>
      </c>
      <c r="C4" s="168" t="s">
        <v>978</v>
      </c>
      <c r="D4" s="168" t="s">
        <v>979</v>
      </c>
      <c r="E4" s="169" t="s">
        <v>25</v>
      </c>
      <c r="F4" s="169" t="s">
        <v>29</v>
      </c>
      <c r="G4" s="169" t="s">
        <v>35</v>
      </c>
      <c r="H4" s="169" t="s">
        <v>36</v>
      </c>
      <c r="I4" s="169" t="s">
        <v>37</v>
      </c>
      <c r="J4" s="169" t="s">
        <v>2</v>
      </c>
      <c r="K4" s="170" t="s">
        <v>3</v>
      </c>
      <c r="L4" s="171" t="s">
        <v>4</v>
      </c>
      <c r="O4" s="236" t="s">
        <v>25</v>
      </c>
      <c r="P4" s="237"/>
      <c r="Q4" s="236" t="s">
        <v>29</v>
      </c>
      <c r="R4" s="238"/>
    </row>
    <row r="5" spans="2:18">
      <c r="B5" s="166"/>
      <c r="C5" s="172" t="s">
        <v>39</v>
      </c>
      <c r="D5" s="172" t="s">
        <v>40</v>
      </c>
      <c r="E5" s="173" t="s">
        <v>41</v>
      </c>
      <c r="F5" s="173" t="s">
        <v>42</v>
      </c>
      <c r="G5" s="174" t="s">
        <v>43</v>
      </c>
      <c r="H5" s="174" t="s">
        <v>44</v>
      </c>
      <c r="I5" s="174" t="s">
        <v>45</v>
      </c>
      <c r="J5" s="175" t="s">
        <v>46</v>
      </c>
      <c r="K5" s="175" t="s">
        <v>47</v>
      </c>
      <c r="L5" s="175" t="s">
        <v>48</v>
      </c>
      <c r="O5" s="162"/>
      <c r="P5" s="164"/>
      <c r="Q5" s="165"/>
      <c r="R5" s="163"/>
    </row>
    <row r="6" spans="2:18">
      <c r="B6" s="244" t="s">
        <v>980</v>
      </c>
      <c r="C6" s="57" t="s">
        <v>981</v>
      </c>
      <c r="D6" s="43">
        <v>4</v>
      </c>
      <c r="E6" s="44" t="b">
        <v>1</v>
      </c>
      <c r="F6" s="44" t="b">
        <v>1</v>
      </c>
      <c r="G6" s="44" t="b">
        <v>0</v>
      </c>
      <c r="H6" s="44" t="b">
        <v>0</v>
      </c>
      <c r="I6" s="44" t="b">
        <v>0</v>
      </c>
      <c r="J6" s="45">
        <v>400</v>
      </c>
      <c r="K6" s="45">
        <f>J6-L6</f>
        <v>139</v>
      </c>
      <c r="L6" s="51">
        <v>261</v>
      </c>
      <c r="O6" s="115" t="s">
        <v>26</v>
      </c>
      <c r="P6" s="118">
        <f>P7+P8</f>
        <v>84</v>
      </c>
      <c r="Q6" s="127" t="s">
        <v>26</v>
      </c>
      <c r="R6" s="128">
        <f>R7+R8</f>
        <v>84</v>
      </c>
    </row>
    <row r="7" spans="2:18">
      <c r="B7" s="244"/>
      <c r="C7" s="54" t="s">
        <v>982</v>
      </c>
      <c r="D7" s="42">
        <v>4</v>
      </c>
      <c r="E7" s="13" t="b">
        <v>1</v>
      </c>
      <c r="F7" s="13" t="b">
        <v>1</v>
      </c>
      <c r="G7" s="13" t="b">
        <v>0</v>
      </c>
      <c r="H7" s="13" t="b">
        <v>0</v>
      </c>
      <c r="I7" s="13" t="b">
        <v>0</v>
      </c>
      <c r="J7" s="12">
        <v>436</v>
      </c>
      <c r="K7" s="48">
        <f t="shared" ref="K7:K66" si="0">J7-L7</f>
        <v>99</v>
      </c>
      <c r="L7" s="16">
        <v>337</v>
      </c>
      <c r="O7" s="116" t="s">
        <v>27</v>
      </c>
      <c r="P7" s="119">
        <f>COUNTIFS(E6:E89,TRUE)</f>
        <v>34</v>
      </c>
      <c r="Q7" s="116" t="s">
        <v>27</v>
      </c>
      <c r="R7" s="119">
        <f>COUNTIFS(F6:F89,TRUE)</f>
        <v>29</v>
      </c>
    </row>
    <row r="8" spans="2:18">
      <c r="B8" s="244"/>
      <c r="C8" s="54" t="s">
        <v>983</v>
      </c>
      <c r="D8" s="42">
        <v>6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2"/>
      <c r="K8" s="48">
        <f t="shared" si="0"/>
        <v>0</v>
      </c>
      <c r="L8" s="16"/>
      <c r="O8" s="117" t="s">
        <v>28</v>
      </c>
      <c r="P8" s="120">
        <f>COUNTIFS(E6:E89,FALSE)</f>
        <v>50</v>
      </c>
      <c r="Q8" s="117" t="s">
        <v>28</v>
      </c>
      <c r="R8" s="120">
        <f>COUNTIFS(F6:F89,FALSE)</f>
        <v>55</v>
      </c>
    </row>
    <row r="9" spans="2:18">
      <c r="B9" s="244"/>
      <c r="C9" s="54" t="s">
        <v>984</v>
      </c>
      <c r="D9" s="42">
        <v>4</v>
      </c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2"/>
      <c r="K9" s="48">
        <f t="shared" si="0"/>
        <v>0</v>
      </c>
      <c r="L9" s="16"/>
    </row>
    <row r="10" spans="2:18">
      <c r="B10" s="245"/>
      <c r="C10" s="55" t="s">
        <v>985</v>
      </c>
      <c r="D10" s="59">
        <v>4</v>
      </c>
      <c r="E10" s="39" t="b">
        <v>0</v>
      </c>
      <c r="F10" s="39" t="b">
        <v>0</v>
      </c>
      <c r="G10" s="39" t="b">
        <v>0</v>
      </c>
      <c r="H10" s="39" t="b">
        <v>0</v>
      </c>
      <c r="I10" s="39" t="b">
        <v>0</v>
      </c>
      <c r="J10" s="40"/>
      <c r="K10" s="48">
        <f t="shared" si="0"/>
        <v>0</v>
      </c>
      <c r="L10" s="52"/>
    </row>
    <row r="11" spans="2:18">
      <c r="B11" s="230" t="s">
        <v>986</v>
      </c>
      <c r="C11" s="53" t="s">
        <v>987</v>
      </c>
      <c r="D11" s="58">
        <v>8</v>
      </c>
      <c r="E11" s="49" t="b">
        <v>1</v>
      </c>
      <c r="F11" s="49" t="b">
        <v>1</v>
      </c>
      <c r="G11" s="49" t="b">
        <v>0</v>
      </c>
      <c r="H11" s="49" t="b">
        <v>0</v>
      </c>
      <c r="I11" s="49" t="b">
        <v>0</v>
      </c>
      <c r="J11" s="48">
        <v>840</v>
      </c>
      <c r="K11" s="48">
        <f t="shared" si="0"/>
        <v>318</v>
      </c>
      <c r="L11" s="50">
        <v>522</v>
      </c>
    </row>
    <row r="12" spans="2:18">
      <c r="B12" s="231"/>
      <c r="C12" s="54" t="s">
        <v>988</v>
      </c>
      <c r="D12" s="42">
        <v>8</v>
      </c>
      <c r="E12" s="13" t="b">
        <v>1</v>
      </c>
      <c r="F12" s="13" t="b">
        <v>1</v>
      </c>
      <c r="G12" s="13" t="b">
        <v>0</v>
      </c>
      <c r="H12" s="13" t="b">
        <v>0</v>
      </c>
      <c r="I12" s="13" t="b">
        <v>0</v>
      </c>
      <c r="J12" s="12">
        <v>805</v>
      </c>
      <c r="K12" s="48">
        <f t="shared" si="0"/>
        <v>348</v>
      </c>
      <c r="L12" s="16">
        <v>457</v>
      </c>
    </row>
    <row r="13" spans="2:18">
      <c r="B13" s="231"/>
      <c r="C13" s="54" t="s">
        <v>989</v>
      </c>
      <c r="D13" s="42">
        <v>5</v>
      </c>
      <c r="E13" s="13" t="b">
        <v>0</v>
      </c>
      <c r="F13" s="13" t="b">
        <v>0</v>
      </c>
      <c r="G13" s="13" t="b">
        <v>0</v>
      </c>
      <c r="H13" s="13" t="b">
        <v>0</v>
      </c>
      <c r="I13" s="13" t="b">
        <v>0</v>
      </c>
      <c r="J13" s="12"/>
      <c r="K13" s="48">
        <f t="shared" si="0"/>
        <v>0</v>
      </c>
      <c r="L13" s="16"/>
    </row>
    <row r="14" spans="2:18">
      <c r="B14" s="231"/>
      <c r="C14" s="54" t="s">
        <v>990</v>
      </c>
      <c r="D14" s="42">
        <v>5</v>
      </c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2"/>
      <c r="K14" s="48">
        <f t="shared" si="0"/>
        <v>0</v>
      </c>
      <c r="L14" s="16"/>
    </row>
    <row r="15" spans="2:18">
      <c r="B15" s="232"/>
      <c r="C15" s="55" t="s">
        <v>991</v>
      </c>
      <c r="D15" s="59">
        <v>4</v>
      </c>
      <c r="E15" s="39" t="b">
        <v>0</v>
      </c>
      <c r="F15" s="39" t="b">
        <v>0</v>
      </c>
      <c r="G15" s="39" t="b">
        <v>0</v>
      </c>
      <c r="H15" s="39" t="b">
        <v>0</v>
      </c>
      <c r="I15" s="39" t="b">
        <v>0</v>
      </c>
      <c r="J15" s="40"/>
      <c r="K15" s="48">
        <f t="shared" si="0"/>
        <v>0</v>
      </c>
      <c r="L15" s="52"/>
    </row>
    <row r="16" spans="2:18">
      <c r="B16" s="233" t="s">
        <v>992</v>
      </c>
      <c r="C16" s="53" t="s">
        <v>993</v>
      </c>
      <c r="D16" s="58">
        <v>6</v>
      </c>
      <c r="E16" s="49" t="b">
        <v>1</v>
      </c>
      <c r="F16" s="49" t="b">
        <v>1</v>
      </c>
      <c r="G16" s="49" t="b">
        <v>0</v>
      </c>
      <c r="H16" s="49" t="b">
        <v>0</v>
      </c>
      <c r="I16" s="49" t="b">
        <v>0</v>
      </c>
      <c r="J16" s="48">
        <v>484</v>
      </c>
      <c r="K16" s="48">
        <f t="shared" si="0"/>
        <v>278</v>
      </c>
      <c r="L16" s="50">
        <v>206</v>
      </c>
    </row>
    <row r="17" spans="2:12">
      <c r="B17" s="234"/>
      <c r="C17" s="54" t="s">
        <v>994</v>
      </c>
      <c r="D17" s="42">
        <v>6</v>
      </c>
      <c r="E17" s="13" t="b">
        <v>1</v>
      </c>
      <c r="F17" s="13" t="b">
        <v>1</v>
      </c>
      <c r="G17" s="13" t="b">
        <v>0</v>
      </c>
      <c r="H17" s="13" t="b">
        <v>0</v>
      </c>
      <c r="I17" s="13" t="b">
        <v>0</v>
      </c>
      <c r="J17" s="12">
        <v>573</v>
      </c>
      <c r="K17" s="48">
        <f t="shared" si="0"/>
        <v>335</v>
      </c>
      <c r="L17" s="16">
        <v>238</v>
      </c>
    </row>
    <row r="18" spans="2:12">
      <c r="B18" s="234"/>
      <c r="C18" s="54" t="s">
        <v>995</v>
      </c>
      <c r="D18" s="42">
        <v>4</v>
      </c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2"/>
      <c r="K18" s="48">
        <f t="shared" si="0"/>
        <v>0</v>
      </c>
      <c r="L18" s="16"/>
    </row>
    <row r="19" spans="2:12">
      <c r="B19" s="234"/>
      <c r="C19" s="54" t="s">
        <v>996</v>
      </c>
      <c r="D19" s="42">
        <v>4</v>
      </c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0</v>
      </c>
      <c r="J19" s="12"/>
      <c r="K19" s="48">
        <f t="shared" si="0"/>
        <v>0</v>
      </c>
      <c r="L19" s="16"/>
    </row>
    <row r="20" spans="2:12">
      <c r="B20" s="235"/>
      <c r="C20" s="55" t="s">
        <v>997</v>
      </c>
      <c r="D20" s="59">
        <v>8</v>
      </c>
      <c r="E20" s="39" t="b">
        <v>0</v>
      </c>
      <c r="F20" s="39" t="b">
        <v>0</v>
      </c>
      <c r="G20" s="39" t="b">
        <v>0</v>
      </c>
      <c r="H20" s="39" t="b">
        <v>0</v>
      </c>
      <c r="I20" s="39" t="b">
        <v>0</v>
      </c>
      <c r="J20" s="40"/>
      <c r="K20" s="48">
        <f t="shared" si="0"/>
        <v>0</v>
      </c>
      <c r="L20" s="52"/>
    </row>
    <row r="21" spans="2:12">
      <c r="B21" s="230" t="s">
        <v>998</v>
      </c>
      <c r="C21" s="53" t="s">
        <v>999</v>
      </c>
      <c r="D21" s="58">
        <v>7</v>
      </c>
      <c r="E21" s="49" t="b">
        <v>1</v>
      </c>
      <c r="F21" s="49" t="b">
        <v>1</v>
      </c>
      <c r="G21" s="49" t="b">
        <v>0</v>
      </c>
      <c r="H21" s="49" t="b">
        <v>0</v>
      </c>
      <c r="I21" s="49" t="b">
        <v>0</v>
      </c>
      <c r="J21" s="48">
        <v>549</v>
      </c>
      <c r="K21" s="48">
        <f t="shared" si="0"/>
        <v>329</v>
      </c>
      <c r="L21" s="50">
        <v>220</v>
      </c>
    </row>
    <row r="22" spans="2:12">
      <c r="B22" s="231"/>
      <c r="C22" s="54" t="s">
        <v>1000</v>
      </c>
      <c r="D22" s="42">
        <v>7</v>
      </c>
      <c r="E22" s="13" t="b">
        <v>1</v>
      </c>
      <c r="F22" s="13" t="b">
        <v>1</v>
      </c>
      <c r="G22" s="13" t="b">
        <v>0</v>
      </c>
      <c r="H22" s="13" t="b">
        <v>0</v>
      </c>
      <c r="I22" s="13" t="b">
        <v>0</v>
      </c>
      <c r="J22" s="12">
        <v>271</v>
      </c>
      <c r="K22" s="48">
        <f t="shared" si="0"/>
        <v>160</v>
      </c>
      <c r="L22" s="16">
        <v>111</v>
      </c>
    </row>
    <row r="23" spans="2:12">
      <c r="B23" s="231"/>
      <c r="C23" s="54" t="s">
        <v>1001</v>
      </c>
      <c r="D23" s="42">
        <v>4</v>
      </c>
      <c r="E23" s="13" t="b">
        <v>0</v>
      </c>
      <c r="F23" s="13" t="b">
        <v>0</v>
      </c>
      <c r="G23" s="13" t="b">
        <v>0</v>
      </c>
      <c r="H23" s="13" t="b">
        <v>0</v>
      </c>
      <c r="I23" s="13" t="b">
        <v>0</v>
      </c>
      <c r="J23" s="12"/>
      <c r="K23" s="48">
        <f t="shared" si="0"/>
        <v>0</v>
      </c>
      <c r="L23" s="16"/>
    </row>
    <row r="24" spans="2:12">
      <c r="B24" s="231"/>
      <c r="C24" s="54" t="s">
        <v>1002</v>
      </c>
      <c r="D24" s="42">
        <v>4</v>
      </c>
      <c r="E24" s="13" t="b">
        <v>0</v>
      </c>
      <c r="F24" s="13" t="b">
        <v>0</v>
      </c>
      <c r="G24" s="13" t="b">
        <v>0</v>
      </c>
      <c r="H24" s="13" t="b">
        <v>0</v>
      </c>
      <c r="I24" s="13" t="b">
        <v>0</v>
      </c>
      <c r="J24" s="12"/>
      <c r="K24" s="48">
        <f t="shared" si="0"/>
        <v>0</v>
      </c>
      <c r="L24" s="16"/>
    </row>
    <row r="25" spans="2:12">
      <c r="B25" s="232"/>
      <c r="C25" s="55" t="s">
        <v>1003</v>
      </c>
      <c r="D25" s="59">
        <v>6</v>
      </c>
      <c r="E25" s="39" t="b">
        <v>0</v>
      </c>
      <c r="F25" s="39" t="b">
        <v>0</v>
      </c>
      <c r="G25" s="39" t="b">
        <v>0</v>
      </c>
      <c r="H25" s="39" t="b">
        <v>0</v>
      </c>
      <c r="I25" s="39" t="b">
        <v>0</v>
      </c>
      <c r="J25" s="40"/>
      <c r="K25" s="48">
        <f t="shared" si="0"/>
        <v>0</v>
      </c>
      <c r="L25" s="52"/>
    </row>
    <row r="26" spans="2:12">
      <c r="B26" s="233" t="s">
        <v>1004</v>
      </c>
      <c r="C26" s="53" t="s">
        <v>1005</v>
      </c>
      <c r="D26" s="58">
        <v>8</v>
      </c>
      <c r="E26" s="49" t="b">
        <v>1</v>
      </c>
      <c r="F26" s="49" t="b">
        <v>1</v>
      </c>
      <c r="G26" s="49" t="b">
        <v>0</v>
      </c>
      <c r="H26" s="49" t="b">
        <v>0</v>
      </c>
      <c r="I26" s="49" t="b">
        <v>0</v>
      </c>
      <c r="J26" s="48">
        <v>1070</v>
      </c>
      <c r="K26" s="48">
        <f t="shared" si="0"/>
        <v>397</v>
      </c>
      <c r="L26" s="50">
        <v>673</v>
      </c>
    </row>
    <row r="27" spans="2:12">
      <c r="B27" s="234"/>
      <c r="C27" s="54" t="s">
        <v>1006</v>
      </c>
      <c r="D27" s="42">
        <v>8</v>
      </c>
      <c r="E27" s="13" t="b">
        <v>1</v>
      </c>
      <c r="F27" s="13" t="b">
        <v>1</v>
      </c>
      <c r="G27" s="13" t="b">
        <v>0</v>
      </c>
      <c r="H27" s="13" t="b">
        <v>0</v>
      </c>
      <c r="I27" s="13" t="b">
        <v>0</v>
      </c>
      <c r="J27" s="12">
        <v>928</v>
      </c>
      <c r="K27" s="48">
        <f t="shared" si="0"/>
        <v>224</v>
      </c>
      <c r="L27" s="16">
        <v>704</v>
      </c>
    </row>
    <row r="28" spans="2:12">
      <c r="B28" s="234"/>
      <c r="C28" s="54" t="s">
        <v>1007</v>
      </c>
      <c r="D28" s="42">
        <v>6</v>
      </c>
      <c r="E28" s="13" t="b">
        <v>0</v>
      </c>
      <c r="F28" s="13" t="b">
        <v>0</v>
      </c>
      <c r="G28" s="13" t="b">
        <v>0</v>
      </c>
      <c r="H28" s="13" t="b">
        <v>0</v>
      </c>
      <c r="I28" s="13" t="b">
        <v>0</v>
      </c>
      <c r="J28" s="12"/>
      <c r="K28" s="48">
        <f t="shared" si="0"/>
        <v>0</v>
      </c>
      <c r="L28" s="16"/>
    </row>
    <row r="29" spans="2:12">
      <c r="B29" s="234"/>
      <c r="C29" s="54" t="s">
        <v>1008</v>
      </c>
      <c r="D29" s="42">
        <v>6</v>
      </c>
      <c r="E29" s="13" t="b">
        <v>0</v>
      </c>
      <c r="F29" s="13" t="b">
        <v>0</v>
      </c>
      <c r="G29" s="13" t="b">
        <v>0</v>
      </c>
      <c r="H29" s="13" t="b">
        <v>0</v>
      </c>
      <c r="I29" s="13" t="b">
        <v>0</v>
      </c>
      <c r="J29" s="12"/>
      <c r="K29" s="48">
        <f t="shared" si="0"/>
        <v>0</v>
      </c>
      <c r="L29" s="16"/>
    </row>
    <row r="30" spans="2:12">
      <c r="B30" s="235"/>
      <c r="C30" s="55" t="s">
        <v>1009</v>
      </c>
      <c r="D30" s="59">
        <v>5</v>
      </c>
      <c r="E30" s="39" t="b">
        <v>0</v>
      </c>
      <c r="F30" s="39" t="b">
        <v>0</v>
      </c>
      <c r="G30" s="39" t="b">
        <v>0</v>
      </c>
      <c r="H30" s="39" t="b">
        <v>0</v>
      </c>
      <c r="I30" s="39" t="b">
        <v>0</v>
      </c>
      <c r="J30" s="40"/>
      <c r="K30" s="48">
        <f t="shared" si="0"/>
        <v>0</v>
      </c>
      <c r="L30" s="52"/>
    </row>
    <row r="31" spans="2:12">
      <c r="B31" s="230" t="s">
        <v>1010</v>
      </c>
      <c r="C31" s="53" t="s">
        <v>1011</v>
      </c>
      <c r="D31" s="58">
        <v>5</v>
      </c>
      <c r="E31" s="49" t="b">
        <v>1</v>
      </c>
      <c r="F31" s="49" t="b">
        <v>1</v>
      </c>
      <c r="G31" s="49" t="b">
        <v>0</v>
      </c>
      <c r="H31" s="49" t="b">
        <v>0</v>
      </c>
      <c r="I31" s="49" t="b">
        <v>0</v>
      </c>
      <c r="J31" s="48">
        <v>342</v>
      </c>
      <c r="K31" s="48">
        <f t="shared" si="0"/>
        <v>204</v>
      </c>
      <c r="L31" s="50">
        <v>138</v>
      </c>
    </row>
    <row r="32" spans="2:12">
      <c r="B32" s="231"/>
      <c r="C32" s="54" t="s">
        <v>1012</v>
      </c>
      <c r="D32" s="42">
        <v>5</v>
      </c>
      <c r="E32" s="13" t="b">
        <v>1</v>
      </c>
      <c r="F32" s="13" t="b">
        <v>1</v>
      </c>
      <c r="G32" s="13" t="b">
        <v>0</v>
      </c>
      <c r="H32" s="13" t="b">
        <v>0</v>
      </c>
      <c r="I32" s="13" t="b">
        <v>0</v>
      </c>
      <c r="J32" s="12">
        <v>300</v>
      </c>
      <c r="K32" s="48">
        <f t="shared" si="0"/>
        <v>198</v>
      </c>
      <c r="L32" s="16">
        <v>102</v>
      </c>
    </row>
    <row r="33" spans="2:12">
      <c r="B33" s="231"/>
      <c r="C33" s="138" t="s">
        <v>1013</v>
      </c>
      <c r="D33" s="42">
        <v>9</v>
      </c>
      <c r="E33" s="13" t="b">
        <v>0</v>
      </c>
      <c r="F33" s="13" t="b">
        <v>0</v>
      </c>
      <c r="G33" s="13" t="b">
        <v>0</v>
      </c>
      <c r="H33" s="13" t="b">
        <v>0</v>
      </c>
      <c r="I33" s="13" t="b">
        <v>0</v>
      </c>
      <c r="J33" s="12"/>
      <c r="K33" s="48">
        <f t="shared" si="0"/>
        <v>0</v>
      </c>
      <c r="L33" s="16"/>
    </row>
    <row r="34" spans="2:12">
      <c r="B34" s="231"/>
      <c r="C34" s="54" t="s">
        <v>1014</v>
      </c>
      <c r="D34" s="42">
        <v>6</v>
      </c>
      <c r="E34" s="13" t="b">
        <v>0</v>
      </c>
      <c r="F34" s="13" t="b">
        <v>0</v>
      </c>
      <c r="G34" s="13" t="b">
        <v>0</v>
      </c>
      <c r="H34" s="13" t="b">
        <v>0</v>
      </c>
      <c r="I34" s="13" t="b">
        <v>0</v>
      </c>
      <c r="J34" s="12"/>
      <c r="K34" s="48">
        <f t="shared" si="0"/>
        <v>0</v>
      </c>
      <c r="L34" s="16"/>
    </row>
    <row r="35" spans="2:12">
      <c r="B35" s="232"/>
      <c r="C35" s="138" t="s">
        <v>1015</v>
      </c>
      <c r="D35" s="59">
        <v>5</v>
      </c>
      <c r="E35" s="39" t="b">
        <v>0</v>
      </c>
      <c r="F35" s="39" t="b">
        <v>0</v>
      </c>
      <c r="G35" s="39" t="b">
        <v>0</v>
      </c>
      <c r="H35" s="39" t="b">
        <v>0</v>
      </c>
      <c r="I35" s="39" t="b">
        <v>0</v>
      </c>
      <c r="J35" s="40"/>
      <c r="K35" s="48">
        <f t="shared" si="0"/>
        <v>0</v>
      </c>
      <c r="L35" s="52"/>
    </row>
    <row r="36" spans="2:12">
      <c r="B36" s="240" t="s">
        <v>1016</v>
      </c>
      <c r="C36" s="53" t="s">
        <v>1017</v>
      </c>
      <c r="D36" s="58">
        <v>4</v>
      </c>
      <c r="E36" s="49" t="b">
        <v>1</v>
      </c>
      <c r="F36" s="49" t="b">
        <v>1</v>
      </c>
      <c r="G36" s="49" t="b">
        <v>0</v>
      </c>
      <c r="H36" s="49" t="b">
        <v>0</v>
      </c>
      <c r="I36" s="49" t="b">
        <v>0</v>
      </c>
      <c r="J36" s="48">
        <v>283</v>
      </c>
      <c r="K36" s="48">
        <f t="shared" si="0"/>
        <v>190</v>
      </c>
      <c r="L36" s="50">
        <v>93</v>
      </c>
    </row>
    <row r="37" spans="2:12">
      <c r="B37" s="241"/>
      <c r="C37" s="54" t="s">
        <v>1018</v>
      </c>
      <c r="D37" s="42">
        <v>4</v>
      </c>
      <c r="E37" s="13" t="b">
        <v>0</v>
      </c>
      <c r="F37" s="13" t="b">
        <v>0</v>
      </c>
      <c r="G37" s="13" t="b">
        <v>0</v>
      </c>
      <c r="H37" s="13" t="b">
        <v>0</v>
      </c>
      <c r="I37" s="13" t="b">
        <v>0</v>
      </c>
      <c r="J37" s="12"/>
      <c r="K37" s="48">
        <f t="shared" si="0"/>
        <v>0</v>
      </c>
      <c r="L37" s="16"/>
    </row>
    <row r="38" spans="2:12">
      <c r="B38" s="241"/>
      <c r="C38" s="54" t="s">
        <v>1019</v>
      </c>
      <c r="D38" s="42">
        <v>8</v>
      </c>
      <c r="E38" s="13" t="b">
        <v>0</v>
      </c>
      <c r="F38" s="13" t="b">
        <v>0</v>
      </c>
      <c r="G38" s="13" t="b">
        <v>0</v>
      </c>
      <c r="H38" s="13" t="b">
        <v>0</v>
      </c>
      <c r="I38" s="13" t="b">
        <v>0</v>
      </c>
      <c r="J38" s="12"/>
      <c r="K38" s="48">
        <f t="shared" si="0"/>
        <v>0</v>
      </c>
      <c r="L38" s="16"/>
    </row>
    <row r="39" spans="2:12">
      <c r="B39" s="242"/>
      <c r="C39" s="55" t="s">
        <v>1020</v>
      </c>
      <c r="D39" s="59">
        <v>4</v>
      </c>
      <c r="E39" s="39" t="b">
        <v>0</v>
      </c>
      <c r="F39" s="39" t="b">
        <v>0</v>
      </c>
      <c r="G39" s="39" t="b">
        <v>0</v>
      </c>
      <c r="H39" s="39" t="b">
        <v>0</v>
      </c>
      <c r="I39" s="39" t="b">
        <v>0</v>
      </c>
      <c r="J39" s="40"/>
      <c r="K39" s="48">
        <f t="shared" si="0"/>
        <v>0</v>
      </c>
      <c r="L39" s="52"/>
    </row>
    <row r="40" spans="2:12">
      <c r="B40" s="230" t="s">
        <v>1021</v>
      </c>
      <c r="C40" s="53" t="s">
        <v>1022</v>
      </c>
      <c r="D40" s="58">
        <v>6</v>
      </c>
      <c r="E40" s="49" t="b">
        <v>1</v>
      </c>
      <c r="F40" s="49" t="b">
        <v>1</v>
      </c>
      <c r="G40" s="49" t="b">
        <v>0</v>
      </c>
      <c r="H40" s="49" t="b">
        <v>0</v>
      </c>
      <c r="I40" s="49" t="b">
        <v>0</v>
      </c>
      <c r="J40" s="48">
        <v>601</v>
      </c>
      <c r="K40" s="48">
        <f t="shared" si="0"/>
        <v>226</v>
      </c>
      <c r="L40" s="50">
        <v>375</v>
      </c>
    </row>
    <row r="41" spans="2:12">
      <c r="B41" s="231"/>
      <c r="C41" s="54" t="s">
        <v>1023</v>
      </c>
      <c r="D41" s="42">
        <v>6</v>
      </c>
      <c r="E41" s="13" t="b">
        <v>1</v>
      </c>
      <c r="F41" s="13" t="b">
        <v>1</v>
      </c>
      <c r="G41" s="13" t="b">
        <v>0</v>
      </c>
      <c r="H41" s="13" t="b">
        <v>0</v>
      </c>
      <c r="I41" s="13" t="b">
        <v>0</v>
      </c>
      <c r="J41" s="12">
        <v>596</v>
      </c>
      <c r="K41" s="48">
        <f t="shared" si="0"/>
        <v>304</v>
      </c>
      <c r="L41" s="16">
        <v>292</v>
      </c>
    </row>
    <row r="42" spans="2:12">
      <c r="B42" s="231"/>
      <c r="C42" s="54" t="s">
        <v>1024</v>
      </c>
      <c r="D42" s="42">
        <v>7</v>
      </c>
      <c r="E42" s="13" t="b">
        <v>0</v>
      </c>
      <c r="F42" s="13" t="b">
        <v>0</v>
      </c>
      <c r="G42" s="13" t="b">
        <v>0</v>
      </c>
      <c r="H42" s="13" t="b">
        <v>0</v>
      </c>
      <c r="I42" s="13" t="b">
        <v>0</v>
      </c>
      <c r="J42" s="12"/>
      <c r="K42" s="48">
        <f t="shared" si="0"/>
        <v>0</v>
      </c>
      <c r="L42" s="16"/>
    </row>
    <row r="43" spans="2:12">
      <c r="B43" s="232"/>
      <c r="C43" s="55" t="s">
        <v>1025</v>
      </c>
      <c r="D43" s="59">
        <v>6</v>
      </c>
      <c r="E43" s="39" t="b">
        <v>0</v>
      </c>
      <c r="F43" s="39" t="b">
        <v>0</v>
      </c>
      <c r="G43" s="39" t="b">
        <v>0</v>
      </c>
      <c r="H43" s="39" t="b">
        <v>0</v>
      </c>
      <c r="I43" s="39" t="b">
        <v>0</v>
      </c>
      <c r="J43" s="40"/>
      <c r="K43" s="48">
        <f t="shared" si="0"/>
        <v>0</v>
      </c>
      <c r="L43" s="52"/>
    </row>
    <row r="44" spans="2:12">
      <c r="B44" s="233" t="s">
        <v>1026</v>
      </c>
      <c r="C44" s="53" t="s">
        <v>1027</v>
      </c>
      <c r="D44" s="58">
        <v>6</v>
      </c>
      <c r="E44" s="49" t="b">
        <v>1</v>
      </c>
      <c r="F44" s="49" t="b">
        <v>1</v>
      </c>
      <c r="G44" s="49" t="b">
        <v>0</v>
      </c>
      <c r="H44" s="49" t="b">
        <v>0</v>
      </c>
      <c r="I44" s="49" t="b">
        <v>0</v>
      </c>
      <c r="J44" s="48">
        <v>425</v>
      </c>
      <c r="K44" s="48">
        <f t="shared" si="0"/>
        <v>121</v>
      </c>
      <c r="L44" s="50">
        <v>304</v>
      </c>
    </row>
    <row r="45" spans="2:12">
      <c r="B45" s="234"/>
      <c r="C45" s="54" t="s">
        <v>1028</v>
      </c>
      <c r="D45" s="42">
        <v>6</v>
      </c>
      <c r="E45" s="13" t="b">
        <v>1</v>
      </c>
      <c r="F45" s="13" t="b">
        <v>1</v>
      </c>
      <c r="G45" s="13" t="b">
        <v>0</v>
      </c>
      <c r="H45" s="13" t="b">
        <v>0</v>
      </c>
      <c r="I45" s="13" t="b">
        <v>0</v>
      </c>
      <c r="J45" s="12">
        <v>381</v>
      </c>
      <c r="K45" s="48">
        <f t="shared" si="0"/>
        <v>179</v>
      </c>
      <c r="L45" s="16">
        <v>202</v>
      </c>
    </row>
    <row r="46" spans="2:12">
      <c r="B46" s="234"/>
      <c r="C46" s="54" t="s">
        <v>1029</v>
      </c>
      <c r="D46" s="42">
        <v>4</v>
      </c>
      <c r="E46" s="13" t="b">
        <v>0</v>
      </c>
      <c r="F46" s="13" t="b">
        <v>0</v>
      </c>
      <c r="G46" s="13" t="b">
        <v>0</v>
      </c>
      <c r="H46" s="13" t="b">
        <v>0</v>
      </c>
      <c r="I46" s="13" t="b">
        <v>0</v>
      </c>
      <c r="J46" s="12"/>
      <c r="K46" s="48">
        <f t="shared" si="0"/>
        <v>0</v>
      </c>
      <c r="L46" s="16"/>
    </row>
    <row r="47" spans="2:12">
      <c r="B47" s="235"/>
      <c r="C47" s="55" t="s">
        <v>1030</v>
      </c>
      <c r="D47" s="59">
        <v>4</v>
      </c>
      <c r="E47" s="39" t="b">
        <v>0</v>
      </c>
      <c r="F47" s="39" t="b">
        <v>0</v>
      </c>
      <c r="G47" s="39" t="b">
        <v>0</v>
      </c>
      <c r="H47" s="39" t="b">
        <v>0</v>
      </c>
      <c r="I47" s="39" t="b">
        <v>0</v>
      </c>
      <c r="J47" s="40"/>
      <c r="K47" s="48">
        <f t="shared" si="0"/>
        <v>0</v>
      </c>
      <c r="L47" s="52"/>
    </row>
    <row r="48" spans="2:12">
      <c r="B48" s="230" t="s">
        <v>1031</v>
      </c>
      <c r="C48" s="53" t="s">
        <v>1032</v>
      </c>
      <c r="D48" s="58">
        <v>8</v>
      </c>
      <c r="E48" s="49" t="b">
        <v>1</v>
      </c>
      <c r="F48" s="49" t="b">
        <v>1</v>
      </c>
      <c r="G48" s="49" t="b">
        <v>0</v>
      </c>
      <c r="H48" s="49" t="b">
        <v>0</v>
      </c>
      <c r="I48" s="49" t="b">
        <v>0</v>
      </c>
      <c r="J48" s="48">
        <v>708</v>
      </c>
      <c r="K48" s="48">
        <f t="shared" si="0"/>
        <v>311</v>
      </c>
      <c r="L48" s="50">
        <v>397</v>
      </c>
    </row>
    <row r="49" spans="2:12">
      <c r="B49" s="231"/>
      <c r="C49" s="54" t="s">
        <v>1033</v>
      </c>
      <c r="D49" s="42">
        <v>8</v>
      </c>
      <c r="E49" s="13" t="b">
        <v>1</v>
      </c>
      <c r="F49" s="13" t="b">
        <v>1</v>
      </c>
      <c r="G49" s="13" t="b">
        <v>0</v>
      </c>
      <c r="H49" s="13" t="b">
        <v>0</v>
      </c>
      <c r="I49" s="13" t="b">
        <v>0</v>
      </c>
      <c r="J49" s="12">
        <v>801</v>
      </c>
      <c r="K49" s="48">
        <f t="shared" si="0"/>
        <v>305</v>
      </c>
      <c r="L49" s="16">
        <v>496</v>
      </c>
    </row>
    <row r="50" spans="2:12">
      <c r="B50" s="231"/>
      <c r="C50" s="54" t="s">
        <v>1034</v>
      </c>
      <c r="D50" s="42">
        <v>7</v>
      </c>
      <c r="E50" s="13" t="b">
        <v>1</v>
      </c>
      <c r="F50" s="13" t="b">
        <v>0</v>
      </c>
      <c r="G50" s="13" t="b">
        <v>0</v>
      </c>
      <c r="H50" s="13" t="b">
        <v>0</v>
      </c>
      <c r="I50" s="13" t="b">
        <v>0</v>
      </c>
      <c r="J50" s="12">
        <v>338</v>
      </c>
      <c r="K50" s="48">
        <f t="shared" si="0"/>
        <v>338</v>
      </c>
      <c r="L50" s="16"/>
    </row>
    <row r="51" spans="2:12">
      <c r="B51" s="232"/>
      <c r="C51" s="55" t="s">
        <v>1035</v>
      </c>
      <c r="D51" s="59">
        <v>8</v>
      </c>
      <c r="E51" s="39" t="b">
        <v>0</v>
      </c>
      <c r="F51" s="39" t="b">
        <v>0</v>
      </c>
      <c r="G51" s="39" t="b">
        <v>0</v>
      </c>
      <c r="H51" s="39" t="b">
        <v>0</v>
      </c>
      <c r="I51" s="39" t="b">
        <v>0</v>
      </c>
      <c r="J51" s="12"/>
      <c r="K51" s="48">
        <f t="shared" si="0"/>
        <v>0</v>
      </c>
      <c r="L51" s="52"/>
    </row>
    <row r="52" spans="2:12">
      <c r="B52" s="233" t="s">
        <v>1036</v>
      </c>
      <c r="C52" s="53" t="s">
        <v>1037</v>
      </c>
      <c r="D52" s="58">
        <v>4</v>
      </c>
      <c r="E52" s="49" t="b">
        <v>1</v>
      </c>
      <c r="F52" s="49" t="b">
        <v>1</v>
      </c>
      <c r="G52" s="49" t="b">
        <v>0</v>
      </c>
      <c r="H52" s="49" t="b">
        <v>0</v>
      </c>
      <c r="I52" s="49" t="b">
        <v>0</v>
      </c>
      <c r="J52" s="48">
        <v>484</v>
      </c>
      <c r="K52" s="48">
        <f t="shared" si="0"/>
        <v>98</v>
      </c>
      <c r="L52" s="50">
        <v>386</v>
      </c>
    </row>
    <row r="53" spans="2:12">
      <c r="B53" s="234"/>
      <c r="C53" s="54" t="s">
        <v>1038</v>
      </c>
      <c r="D53" s="42">
        <v>4</v>
      </c>
      <c r="E53" s="13" t="b">
        <v>1</v>
      </c>
      <c r="F53" s="13" t="b">
        <v>1</v>
      </c>
      <c r="G53" s="13" t="b">
        <v>0</v>
      </c>
      <c r="H53" s="13" t="b">
        <v>0</v>
      </c>
      <c r="I53" s="13" t="b">
        <v>0</v>
      </c>
      <c r="J53" s="12">
        <v>532</v>
      </c>
      <c r="K53" s="48">
        <f t="shared" si="0"/>
        <v>136</v>
      </c>
      <c r="L53" s="16">
        <v>396</v>
      </c>
    </row>
    <row r="54" spans="2:12">
      <c r="B54" s="234"/>
      <c r="C54" s="54" t="s">
        <v>1039</v>
      </c>
      <c r="D54" s="42">
        <v>4</v>
      </c>
      <c r="E54" s="13" t="b">
        <v>1</v>
      </c>
      <c r="F54" s="13" t="b">
        <v>0</v>
      </c>
      <c r="G54" s="13" t="b">
        <v>0</v>
      </c>
      <c r="H54" s="13" t="b">
        <v>0</v>
      </c>
      <c r="I54" s="13" t="b">
        <v>0</v>
      </c>
      <c r="J54" s="12">
        <v>167</v>
      </c>
      <c r="K54" s="48">
        <f t="shared" si="0"/>
        <v>167</v>
      </c>
      <c r="L54" s="16"/>
    </row>
    <row r="55" spans="2:12">
      <c r="B55" s="235"/>
      <c r="C55" s="55" t="s">
        <v>1040</v>
      </c>
      <c r="D55" s="59">
        <v>5</v>
      </c>
      <c r="E55" s="39" t="b">
        <v>0</v>
      </c>
      <c r="F55" s="39" t="b">
        <v>0</v>
      </c>
      <c r="G55" s="39" t="b">
        <v>0</v>
      </c>
      <c r="H55" s="39" t="b">
        <v>0</v>
      </c>
      <c r="I55" s="39" t="b">
        <v>0</v>
      </c>
      <c r="J55" s="40"/>
      <c r="K55" s="48">
        <f t="shared" si="0"/>
        <v>0</v>
      </c>
      <c r="L55" s="52"/>
    </row>
    <row r="56" spans="2:12">
      <c r="B56" s="230" t="s">
        <v>1041</v>
      </c>
      <c r="C56" s="53" t="s">
        <v>1042</v>
      </c>
      <c r="D56" s="58">
        <v>6</v>
      </c>
      <c r="E56" s="49" t="b">
        <v>1</v>
      </c>
      <c r="F56" s="49" t="b">
        <v>1</v>
      </c>
      <c r="G56" s="49" t="b">
        <v>0</v>
      </c>
      <c r="H56" s="49" t="b">
        <v>0</v>
      </c>
      <c r="I56" s="49" t="b">
        <v>0</v>
      </c>
      <c r="J56" s="48">
        <v>404</v>
      </c>
      <c r="K56" s="48">
        <f t="shared" si="0"/>
        <v>110</v>
      </c>
      <c r="L56" s="50">
        <v>294</v>
      </c>
    </row>
    <row r="57" spans="2:12">
      <c r="B57" s="231"/>
      <c r="C57" s="54" t="s">
        <v>1043</v>
      </c>
      <c r="D57" s="42">
        <v>6</v>
      </c>
      <c r="E57" s="13" t="b">
        <v>1</v>
      </c>
      <c r="F57" s="13" t="b">
        <v>1</v>
      </c>
      <c r="G57" s="13" t="b">
        <v>0</v>
      </c>
      <c r="H57" s="13" t="b">
        <v>0</v>
      </c>
      <c r="I57" s="13" t="b">
        <v>0</v>
      </c>
      <c r="J57" s="12">
        <v>431</v>
      </c>
      <c r="K57" s="48">
        <f t="shared" si="0"/>
        <v>82</v>
      </c>
      <c r="L57" s="16">
        <v>349</v>
      </c>
    </row>
    <row r="58" spans="2:12">
      <c r="B58" s="232"/>
      <c r="C58" s="55" t="s">
        <v>1044</v>
      </c>
      <c r="D58" s="59">
        <v>7</v>
      </c>
      <c r="E58" s="39" t="b">
        <v>1</v>
      </c>
      <c r="F58" s="39" t="b">
        <v>0</v>
      </c>
      <c r="G58" s="39" t="b">
        <v>0</v>
      </c>
      <c r="H58" s="39" t="b">
        <v>0</v>
      </c>
      <c r="I58" s="39" t="b">
        <v>0</v>
      </c>
      <c r="J58" s="40">
        <v>368</v>
      </c>
      <c r="K58" s="48">
        <f t="shared" si="0"/>
        <v>364</v>
      </c>
      <c r="L58" s="52">
        <v>4</v>
      </c>
    </row>
    <row r="59" spans="2:12">
      <c r="B59" s="233" t="s">
        <v>1045</v>
      </c>
      <c r="C59" s="53" t="s">
        <v>1046</v>
      </c>
      <c r="D59" s="58">
        <v>8</v>
      </c>
      <c r="E59" s="49" t="b">
        <v>1</v>
      </c>
      <c r="F59" s="49" t="b">
        <v>1</v>
      </c>
      <c r="G59" s="49" t="b">
        <v>0</v>
      </c>
      <c r="H59" s="49" t="b">
        <v>0</v>
      </c>
      <c r="I59" s="49" t="b">
        <v>0</v>
      </c>
      <c r="J59" s="48">
        <v>688</v>
      </c>
      <c r="K59" s="48">
        <f t="shared" si="0"/>
        <v>222</v>
      </c>
      <c r="L59" s="50">
        <v>466</v>
      </c>
    </row>
    <row r="60" spans="2:12">
      <c r="B60" s="234"/>
      <c r="C60" s="54" t="s">
        <v>1047</v>
      </c>
      <c r="D60" s="42">
        <v>8</v>
      </c>
      <c r="E60" s="13" t="b">
        <v>1</v>
      </c>
      <c r="F60" s="13" t="b">
        <v>1</v>
      </c>
      <c r="G60" s="13" t="b">
        <v>0</v>
      </c>
      <c r="H60" s="13" t="b">
        <v>0</v>
      </c>
      <c r="I60" s="13" t="b">
        <v>0</v>
      </c>
      <c r="J60" s="12">
        <v>663</v>
      </c>
      <c r="K60" s="48">
        <f t="shared" si="0"/>
        <v>221</v>
      </c>
      <c r="L60" s="16">
        <v>442</v>
      </c>
    </row>
    <row r="61" spans="2:12">
      <c r="B61" s="235"/>
      <c r="C61" s="55" t="s">
        <v>1048</v>
      </c>
      <c r="D61" s="59">
        <v>6</v>
      </c>
      <c r="E61" s="39" t="b">
        <v>1</v>
      </c>
      <c r="F61" s="39" t="b">
        <v>0</v>
      </c>
      <c r="G61" s="39" t="b">
        <v>0</v>
      </c>
      <c r="H61" s="39" t="b">
        <v>0</v>
      </c>
      <c r="I61" s="39" t="b">
        <v>0</v>
      </c>
      <c r="J61" s="40">
        <v>356</v>
      </c>
      <c r="K61" s="48">
        <f t="shared" si="0"/>
        <v>355</v>
      </c>
      <c r="L61" s="52">
        <v>1</v>
      </c>
    </row>
    <row r="62" spans="2:12">
      <c r="B62" s="230" t="s">
        <v>1049</v>
      </c>
      <c r="C62" s="53" t="s">
        <v>1050</v>
      </c>
      <c r="D62" s="58">
        <v>8</v>
      </c>
      <c r="E62" s="49" t="b">
        <v>1</v>
      </c>
      <c r="F62" s="49" t="b">
        <v>1</v>
      </c>
      <c r="G62" s="49" t="b">
        <v>0</v>
      </c>
      <c r="H62" s="49" t="b">
        <v>0</v>
      </c>
      <c r="I62" s="49" t="b">
        <v>0</v>
      </c>
      <c r="J62" s="48">
        <v>514</v>
      </c>
      <c r="K62" s="48">
        <f t="shared" si="0"/>
        <v>160</v>
      </c>
      <c r="L62" s="50">
        <v>354</v>
      </c>
    </row>
    <row r="63" spans="2:12">
      <c r="B63" s="231"/>
      <c r="C63" s="54" t="s">
        <v>1051</v>
      </c>
      <c r="D63" s="42">
        <v>8</v>
      </c>
      <c r="E63" s="13" t="b">
        <v>1</v>
      </c>
      <c r="F63" s="13" t="b">
        <v>1</v>
      </c>
      <c r="G63" s="13" t="b">
        <v>0</v>
      </c>
      <c r="H63" s="13" t="b">
        <v>0</v>
      </c>
      <c r="I63" s="13" t="b">
        <v>0</v>
      </c>
      <c r="J63" s="12">
        <v>486</v>
      </c>
      <c r="K63" s="48">
        <f t="shared" si="0"/>
        <v>152</v>
      </c>
      <c r="L63" s="16">
        <v>334</v>
      </c>
    </row>
    <row r="64" spans="2:12">
      <c r="B64" s="243"/>
      <c r="C64" s="56" t="s">
        <v>1052</v>
      </c>
      <c r="D64" s="60">
        <v>6</v>
      </c>
      <c r="E64" s="19" t="b">
        <v>1</v>
      </c>
      <c r="F64" s="19" t="b">
        <v>0</v>
      </c>
      <c r="G64" s="19" t="b">
        <v>0</v>
      </c>
      <c r="H64" s="19" t="b">
        <v>0</v>
      </c>
      <c r="I64" s="19" t="b">
        <v>0</v>
      </c>
      <c r="J64" s="18">
        <v>357</v>
      </c>
      <c r="K64" s="48">
        <f t="shared" si="0"/>
        <v>357</v>
      </c>
      <c r="L64" s="20"/>
    </row>
    <row r="65" spans="2:12">
      <c r="B65" s="239" t="s">
        <v>1053</v>
      </c>
      <c r="C65" s="57" t="s">
        <v>1054</v>
      </c>
      <c r="D65" s="43">
        <v>6</v>
      </c>
      <c r="E65" s="44" t="b">
        <v>1</v>
      </c>
      <c r="F65" s="44" t="b">
        <v>1</v>
      </c>
      <c r="G65" s="44" t="b">
        <v>0</v>
      </c>
      <c r="H65" s="44" t="b">
        <v>0</v>
      </c>
      <c r="I65" s="44" t="b">
        <v>0</v>
      </c>
      <c r="J65" s="45">
        <v>430</v>
      </c>
      <c r="K65" s="48">
        <f t="shared" si="0"/>
        <v>102</v>
      </c>
      <c r="L65" s="51">
        <v>328</v>
      </c>
    </row>
    <row r="66" spans="2:12">
      <c r="B66" s="235"/>
      <c r="C66" s="55" t="s">
        <v>1055</v>
      </c>
      <c r="D66" s="59">
        <v>6</v>
      </c>
      <c r="E66" s="39" t="b">
        <v>1</v>
      </c>
      <c r="F66" s="39" t="b">
        <v>1</v>
      </c>
      <c r="G66" s="39" t="b">
        <v>0</v>
      </c>
      <c r="H66" s="39" t="b">
        <v>0</v>
      </c>
      <c r="I66" s="39" t="b">
        <v>0</v>
      </c>
      <c r="J66" s="40">
        <v>474</v>
      </c>
      <c r="K66" s="146">
        <f t="shared" si="0"/>
        <v>116</v>
      </c>
      <c r="L66" s="52">
        <v>358</v>
      </c>
    </row>
    <row r="67" spans="2:12" ht="18.75" customHeight="1">
      <c r="B67" s="225" t="s">
        <v>1056</v>
      </c>
      <c r="C67" s="147" t="s">
        <v>1057</v>
      </c>
      <c r="D67" s="48"/>
      <c r="E67" s="49" t="b">
        <v>0</v>
      </c>
      <c r="F67" s="49" t="b">
        <v>0</v>
      </c>
      <c r="G67" s="49" t="b">
        <v>0</v>
      </c>
      <c r="H67" s="49" t="b">
        <v>0</v>
      </c>
      <c r="I67" s="49" t="b">
        <v>0</v>
      </c>
      <c r="J67" s="48"/>
      <c r="K67" s="48">
        <f>J67-L67</f>
        <v>0</v>
      </c>
      <c r="L67" s="50"/>
    </row>
    <row r="68" spans="2:12">
      <c r="B68" s="226"/>
      <c r="C68" s="140" t="s">
        <v>1058</v>
      </c>
      <c r="D68" s="12"/>
      <c r="E68" s="13" t="b">
        <v>0</v>
      </c>
      <c r="F68" s="13" t="b">
        <v>0</v>
      </c>
      <c r="G68" s="13" t="b">
        <v>0</v>
      </c>
      <c r="H68" s="13" t="b">
        <v>0</v>
      </c>
      <c r="I68" s="13" t="b">
        <v>0</v>
      </c>
      <c r="J68" s="12"/>
      <c r="K68" s="12">
        <f>J68-L68</f>
        <v>0</v>
      </c>
      <c r="L68" s="16"/>
    </row>
    <row r="69" spans="2:12">
      <c r="B69" s="226"/>
      <c r="C69" s="148" t="s">
        <v>1059</v>
      </c>
      <c r="D69" s="12"/>
      <c r="E69" s="13" t="b">
        <v>0</v>
      </c>
      <c r="F69" s="13" t="b">
        <v>0</v>
      </c>
      <c r="G69" s="13" t="b">
        <v>0</v>
      </c>
      <c r="H69" s="13" t="b">
        <v>0</v>
      </c>
      <c r="I69" s="13" t="b">
        <v>0</v>
      </c>
      <c r="J69" s="12"/>
      <c r="K69" s="12">
        <f>J69-L69</f>
        <v>0</v>
      </c>
      <c r="L69" s="16"/>
    </row>
    <row r="70" spans="2:12">
      <c r="B70" s="226"/>
      <c r="C70" s="140" t="s">
        <v>1060</v>
      </c>
      <c r="D70" s="12"/>
      <c r="E70" s="13" t="b">
        <v>0</v>
      </c>
      <c r="F70" s="13" t="b">
        <v>0</v>
      </c>
      <c r="G70" s="13" t="b">
        <v>0</v>
      </c>
      <c r="H70" s="13" t="b">
        <v>0</v>
      </c>
      <c r="I70" s="13" t="b">
        <v>0</v>
      </c>
      <c r="J70" s="12"/>
      <c r="K70" s="12">
        <f>J70-L70</f>
        <v>0</v>
      </c>
      <c r="L70" s="16"/>
    </row>
    <row r="71" spans="2:12">
      <c r="B71" s="226"/>
      <c r="C71" s="148" t="s">
        <v>1061</v>
      </c>
      <c r="D71" s="12"/>
      <c r="E71" s="13" t="b">
        <v>0</v>
      </c>
      <c r="F71" s="13" t="b">
        <v>0</v>
      </c>
      <c r="G71" s="13" t="b">
        <v>0</v>
      </c>
      <c r="H71" s="13" t="b">
        <v>0</v>
      </c>
      <c r="I71" s="13" t="b">
        <v>0</v>
      </c>
      <c r="J71" s="12"/>
      <c r="K71" s="12">
        <f>J71-L71</f>
        <v>0</v>
      </c>
      <c r="L71" s="16"/>
    </row>
    <row r="72" spans="2:12">
      <c r="B72" s="226"/>
      <c r="C72" s="140" t="s">
        <v>1062</v>
      </c>
      <c r="D72" s="12"/>
      <c r="E72" s="13" t="b">
        <v>0</v>
      </c>
      <c r="F72" s="13" t="b">
        <v>0</v>
      </c>
      <c r="G72" s="13" t="b">
        <v>0</v>
      </c>
      <c r="H72" s="13" t="b">
        <v>0</v>
      </c>
      <c r="I72" s="13" t="b">
        <v>0</v>
      </c>
      <c r="J72" s="12"/>
      <c r="K72" s="12">
        <f>J72-L72</f>
        <v>0</v>
      </c>
      <c r="L72" s="16"/>
    </row>
    <row r="73" spans="2:12">
      <c r="B73" s="226"/>
      <c r="C73" s="148" t="s">
        <v>1063</v>
      </c>
      <c r="D73" s="12"/>
      <c r="E73" s="13" t="b">
        <v>0</v>
      </c>
      <c r="F73" s="13" t="b">
        <v>0</v>
      </c>
      <c r="G73" s="13" t="b">
        <v>0</v>
      </c>
      <c r="H73" s="13" t="b">
        <v>0</v>
      </c>
      <c r="I73" s="13" t="b">
        <v>0</v>
      </c>
      <c r="J73" s="12"/>
      <c r="K73" s="12">
        <f>J73-L73</f>
        <v>0</v>
      </c>
      <c r="L73" s="16"/>
    </row>
    <row r="74" spans="2:12">
      <c r="B74" s="226"/>
      <c r="C74" s="140" t="s">
        <v>1064</v>
      </c>
      <c r="D74" s="12"/>
      <c r="E74" s="13" t="b">
        <v>0</v>
      </c>
      <c r="F74" s="13" t="b">
        <v>0</v>
      </c>
      <c r="G74" s="13" t="b">
        <v>0</v>
      </c>
      <c r="H74" s="13" t="b">
        <v>0</v>
      </c>
      <c r="I74" s="13" t="b">
        <v>0</v>
      </c>
      <c r="J74" s="12"/>
      <c r="K74" s="12">
        <f>J74-L74</f>
        <v>0</v>
      </c>
      <c r="L74" s="16"/>
    </row>
    <row r="75" spans="2:12">
      <c r="B75" s="226"/>
      <c r="C75" s="148" t="s">
        <v>1065</v>
      </c>
      <c r="D75" s="12"/>
      <c r="E75" s="13" t="b">
        <v>0</v>
      </c>
      <c r="F75" s="13" t="b">
        <v>0</v>
      </c>
      <c r="G75" s="13" t="b">
        <v>0</v>
      </c>
      <c r="H75" s="13" t="b">
        <v>0</v>
      </c>
      <c r="I75" s="13" t="b">
        <v>0</v>
      </c>
      <c r="J75" s="12"/>
      <c r="K75" s="12">
        <f>J75-L75</f>
        <v>0</v>
      </c>
      <c r="L75" s="16"/>
    </row>
    <row r="76" spans="2:12">
      <c r="B76" s="226"/>
      <c r="C76" s="140" t="s">
        <v>1066</v>
      </c>
      <c r="D76" s="12"/>
      <c r="E76" s="13" t="b">
        <v>0</v>
      </c>
      <c r="F76" s="13" t="b">
        <v>0</v>
      </c>
      <c r="G76" s="13" t="b">
        <v>0</v>
      </c>
      <c r="H76" s="13" t="b">
        <v>0</v>
      </c>
      <c r="I76" s="13" t="b">
        <v>0</v>
      </c>
      <c r="J76" s="12"/>
      <c r="K76" s="12">
        <f>J76-L76</f>
        <v>0</v>
      </c>
      <c r="L76" s="16"/>
    </row>
    <row r="77" spans="2:12">
      <c r="B77" s="226"/>
      <c r="C77" s="148" t="s">
        <v>1067</v>
      </c>
      <c r="D77" s="12"/>
      <c r="E77" s="13" t="b">
        <v>0</v>
      </c>
      <c r="F77" s="13" t="b">
        <v>0</v>
      </c>
      <c r="G77" s="13" t="b">
        <v>0</v>
      </c>
      <c r="H77" s="13" t="b">
        <v>0</v>
      </c>
      <c r="I77" s="13" t="b">
        <v>0</v>
      </c>
      <c r="J77" s="12"/>
      <c r="K77" s="12">
        <f>J77-L77</f>
        <v>0</v>
      </c>
      <c r="L77" s="16"/>
    </row>
    <row r="78" spans="2:12">
      <c r="B78" s="226"/>
      <c r="C78" s="140" t="s">
        <v>1068</v>
      </c>
      <c r="D78" s="12"/>
      <c r="E78" s="13" t="b">
        <v>0</v>
      </c>
      <c r="F78" s="13" t="b">
        <v>0</v>
      </c>
      <c r="G78" s="13" t="b">
        <v>0</v>
      </c>
      <c r="H78" s="13" t="b">
        <v>0</v>
      </c>
      <c r="I78" s="13" t="b">
        <v>0</v>
      </c>
      <c r="J78" s="12"/>
      <c r="K78" s="12">
        <f>J78-L78</f>
        <v>0</v>
      </c>
      <c r="L78" s="16"/>
    </row>
    <row r="79" spans="2:12">
      <c r="B79" s="226"/>
      <c r="C79" s="148" t="s">
        <v>1069</v>
      </c>
      <c r="D79" s="12"/>
      <c r="E79" s="13" t="b">
        <v>0</v>
      </c>
      <c r="F79" s="13" t="b">
        <v>0</v>
      </c>
      <c r="G79" s="13" t="b">
        <v>0</v>
      </c>
      <c r="H79" s="13" t="b">
        <v>0</v>
      </c>
      <c r="I79" s="13" t="b">
        <v>0</v>
      </c>
      <c r="J79" s="12"/>
      <c r="K79" s="12">
        <f>J79-L79</f>
        <v>0</v>
      </c>
      <c r="L79" s="16"/>
    </row>
    <row r="80" spans="2:12">
      <c r="B80" s="226"/>
      <c r="C80" s="140" t="s">
        <v>1070</v>
      </c>
      <c r="D80" s="12"/>
      <c r="E80" s="13" t="b">
        <v>0</v>
      </c>
      <c r="F80" s="13" t="b">
        <v>0</v>
      </c>
      <c r="G80" s="13" t="b">
        <v>0</v>
      </c>
      <c r="H80" s="13" t="b">
        <v>0</v>
      </c>
      <c r="I80" s="13" t="b">
        <v>0</v>
      </c>
      <c r="J80" s="12"/>
      <c r="K80" s="12">
        <f>J80-L80</f>
        <v>0</v>
      </c>
      <c r="L80" s="16"/>
    </row>
    <row r="81" spans="2:12">
      <c r="B81" s="226"/>
      <c r="C81" s="148" t="s">
        <v>1071</v>
      </c>
      <c r="D81" s="12"/>
      <c r="E81" s="13" t="b">
        <v>0</v>
      </c>
      <c r="F81" s="13" t="b">
        <v>0</v>
      </c>
      <c r="G81" s="13" t="b">
        <v>0</v>
      </c>
      <c r="H81" s="13" t="b">
        <v>0</v>
      </c>
      <c r="I81" s="13" t="b">
        <v>0</v>
      </c>
      <c r="J81" s="12"/>
      <c r="K81" s="12">
        <f>J81-L81</f>
        <v>0</v>
      </c>
      <c r="L81" s="16"/>
    </row>
    <row r="82" spans="2:12">
      <c r="B82" s="226"/>
      <c r="C82" s="150" t="s">
        <v>1072</v>
      </c>
      <c r="D82" s="40"/>
      <c r="E82" s="39" t="b">
        <v>0</v>
      </c>
      <c r="F82" s="39" t="b">
        <v>0</v>
      </c>
      <c r="G82" s="39" t="b">
        <v>0</v>
      </c>
      <c r="H82" s="39" t="b">
        <v>0</v>
      </c>
      <c r="I82" s="39" t="b">
        <v>0</v>
      </c>
      <c r="J82" s="40"/>
      <c r="K82" s="40">
        <f>J82-L82</f>
        <v>0</v>
      </c>
      <c r="L82" s="52"/>
    </row>
    <row r="83" spans="2:12">
      <c r="B83" s="227" t="s">
        <v>1073</v>
      </c>
      <c r="C83" s="147" t="s">
        <v>1074</v>
      </c>
      <c r="D83" s="48"/>
      <c r="E83" s="49" t="b">
        <v>0</v>
      </c>
      <c r="F83" s="49" t="b">
        <v>0</v>
      </c>
      <c r="G83" s="49" t="b">
        <v>0</v>
      </c>
      <c r="H83" s="49" t="b">
        <v>0</v>
      </c>
      <c r="I83" s="49" t="b">
        <v>0</v>
      </c>
      <c r="J83" s="48"/>
      <c r="K83" s="48">
        <f>J83-L83</f>
        <v>0</v>
      </c>
      <c r="L83" s="50"/>
    </row>
    <row r="84" spans="2:12">
      <c r="B84" s="228"/>
      <c r="C84" s="140" t="s">
        <v>1075</v>
      </c>
      <c r="D84" s="12"/>
      <c r="E84" s="13" t="b">
        <v>0</v>
      </c>
      <c r="F84" s="13" t="b">
        <v>0</v>
      </c>
      <c r="G84" s="13" t="b">
        <v>0</v>
      </c>
      <c r="H84" s="13" t="b">
        <v>0</v>
      </c>
      <c r="I84" s="13" t="b">
        <v>0</v>
      </c>
      <c r="J84" s="12"/>
      <c r="K84" s="12">
        <f>J84-L84</f>
        <v>0</v>
      </c>
      <c r="L84" s="16"/>
    </row>
    <row r="85" spans="2:12">
      <c r="B85" s="228"/>
      <c r="C85" s="148" t="s">
        <v>1076</v>
      </c>
      <c r="D85" s="12"/>
      <c r="E85" s="13" t="b">
        <v>0</v>
      </c>
      <c r="F85" s="13" t="b">
        <v>0</v>
      </c>
      <c r="G85" s="13" t="b">
        <v>0</v>
      </c>
      <c r="H85" s="13" t="b">
        <v>0</v>
      </c>
      <c r="I85" s="13" t="b">
        <v>0</v>
      </c>
      <c r="J85" s="12"/>
      <c r="K85" s="12">
        <f>J85-L85</f>
        <v>0</v>
      </c>
      <c r="L85" s="16"/>
    </row>
    <row r="86" spans="2:12">
      <c r="B86" s="228"/>
      <c r="C86" s="140" t="s">
        <v>1077</v>
      </c>
      <c r="D86" s="12"/>
      <c r="E86" s="13" t="b">
        <v>0</v>
      </c>
      <c r="F86" s="13" t="b">
        <v>0</v>
      </c>
      <c r="G86" s="13" t="b">
        <v>0</v>
      </c>
      <c r="H86" s="13" t="b">
        <v>0</v>
      </c>
      <c r="I86" s="13" t="b">
        <v>0</v>
      </c>
      <c r="J86" s="12"/>
      <c r="K86" s="12">
        <f>J86-L86</f>
        <v>0</v>
      </c>
      <c r="L86" s="16"/>
    </row>
    <row r="87" spans="2:12">
      <c r="B87" s="228"/>
      <c r="C87" s="148" t="s">
        <v>1078</v>
      </c>
      <c r="D87" s="12"/>
      <c r="E87" s="13" t="b">
        <v>0</v>
      </c>
      <c r="F87" s="13" t="b">
        <v>0</v>
      </c>
      <c r="G87" s="13" t="b">
        <v>0</v>
      </c>
      <c r="H87" s="13" t="b">
        <v>0</v>
      </c>
      <c r="I87" s="13" t="b">
        <v>0</v>
      </c>
      <c r="J87" s="12"/>
      <c r="K87" s="12">
        <f>J87-L87</f>
        <v>0</v>
      </c>
      <c r="L87" s="16"/>
    </row>
    <row r="88" spans="2:12">
      <c r="B88" s="228"/>
      <c r="C88" s="140" t="s">
        <v>1079</v>
      </c>
      <c r="D88" s="12"/>
      <c r="E88" s="13" t="b">
        <v>0</v>
      </c>
      <c r="F88" s="13" t="b">
        <v>0</v>
      </c>
      <c r="G88" s="13" t="b">
        <v>0</v>
      </c>
      <c r="H88" s="13" t="b">
        <v>0</v>
      </c>
      <c r="I88" s="13" t="b">
        <v>0</v>
      </c>
      <c r="J88" s="12"/>
      <c r="K88" s="12">
        <f>J88-L88</f>
        <v>0</v>
      </c>
      <c r="L88" s="16"/>
    </row>
    <row r="89" spans="2:12">
      <c r="B89" s="229"/>
      <c r="C89" s="149" t="s">
        <v>1080</v>
      </c>
      <c r="D89" s="18"/>
      <c r="E89" s="19" t="b">
        <v>0</v>
      </c>
      <c r="F89" s="19" t="b">
        <v>0</v>
      </c>
      <c r="G89" s="19" t="b">
        <v>0</v>
      </c>
      <c r="H89" s="19" t="b">
        <v>0</v>
      </c>
      <c r="I89" s="19" t="b">
        <v>0</v>
      </c>
      <c r="J89" s="40"/>
      <c r="K89" s="40">
        <f>J89-L89</f>
        <v>0</v>
      </c>
      <c r="L89" s="52"/>
    </row>
    <row r="90" spans="2:12">
      <c r="J90" s="185">
        <f>SUM(J6:J89)</f>
        <v>17485</v>
      </c>
      <c r="K90" s="186">
        <f>SUM(K6:K89)</f>
        <v>7645</v>
      </c>
      <c r="L90" s="185">
        <f>SUM(L6:L89)</f>
        <v>9840</v>
      </c>
    </row>
  </sheetData>
  <autoFilter ref="B5:L89" xr:uid="{BBAA6066-03DD-477D-84EB-23657178F8C6}"/>
  <mergeCells count="20">
    <mergeCell ref="B2:C2"/>
    <mergeCell ref="Q4:R4"/>
    <mergeCell ref="B65:B66"/>
    <mergeCell ref="B31:B35"/>
    <mergeCell ref="B36:B39"/>
    <mergeCell ref="B40:B43"/>
    <mergeCell ref="B44:B47"/>
    <mergeCell ref="B48:B51"/>
    <mergeCell ref="B52:B55"/>
    <mergeCell ref="B56:B58"/>
    <mergeCell ref="B59:B61"/>
    <mergeCell ref="B62:B64"/>
    <mergeCell ref="B11:B15"/>
    <mergeCell ref="B16:B20"/>
    <mergeCell ref="B6:B10"/>
    <mergeCell ref="B67:B82"/>
    <mergeCell ref="B83:B89"/>
    <mergeCell ref="B21:B25"/>
    <mergeCell ref="B26:B30"/>
    <mergeCell ref="O4:P4"/>
  </mergeCells>
  <conditionalFormatting sqref="D6:L89">
    <cfRule type="expression" dxfId="31" priority="4">
      <formula>MOD(ROW(),2)=1</formula>
    </cfRule>
  </conditionalFormatting>
  <conditionalFormatting sqref="C6:C66">
    <cfRule type="expression" dxfId="30" priority="3">
      <formula>MOD(ROW(),2)=1</formula>
    </cfRule>
  </conditionalFormatting>
  <conditionalFormatting sqref="D67:L89">
    <cfRule type="expression" dxfId="29" priority="1">
      <formula>MOD(ROW(),2)=1</formula>
    </cfRule>
  </conditionalFormatting>
  <hyperlinks>
    <hyperlink ref="B2:C2" location="MENU" display="MENU" xr:uid="{1360888C-975E-4A1C-BAE6-55F221DA58AE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DA3C-725F-46AB-A4EA-CF2D68A1F987}">
  <dimension ref="B2:T435"/>
  <sheetViews>
    <sheetView tabSelected="1" topLeftCell="B86" workbookViewId="0">
      <selection activeCell="F98" sqref="F98"/>
    </sheetView>
  </sheetViews>
  <sheetFormatPr defaultRowHeight="15"/>
  <cols>
    <col min="3" max="4" width="10.42578125" customWidth="1"/>
    <col min="5" max="5" width="13" customWidth="1"/>
    <col min="6" max="6" width="15.42578125" style="97" bestFit="1" customWidth="1"/>
    <col min="7" max="7" width="12.85546875" style="81" bestFit="1" customWidth="1"/>
    <col min="8" max="8" width="20.7109375" customWidth="1"/>
    <col min="9" max="9" width="66.28515625" customWidth="1"/>
    <col min="10" max="10" width="38.42578125" customWidth="1"/>
    <col min="20" max="20" width="18.42578125" customWidth="1"/>
  </cols>
  <sheetData>
    <row r="2" spans="2:20" ht="46.5">
      <c r="B2" s="211" t="s">
        <v>30</v>
      </c>
      <c r="C2" s="211"/>
    </row>
    <row r="4" spans="2:20" ht="36.75" customHeight="1">
      <c r="C4" s="62" t="s">
        <v>1081</v>
      </c>
      <c r="D4" s="129" t="s">
        <v>1082</v>
      </c>
      <c r="E4" s="136" t="s">
        <v>1083</v>
      </c>
      <c r="F4" s="130" t="s">
        <v>31</v>
      </c>
      <c r="G4" s="88" t="s">
        <v>32</v>
      </c>
      <c r="H4" s="100"/>
      <c r="I4" s="236" t="s">
        <v>25</v>
      </c>
      <c r="J4" s="238"/>
    </row>
    <row r="5" spans="2:20" ht="18" customHeight="1">
      <c r="B5" s="252" t="s">
        <v>1084</v>
      </c>
      <c r="E5" s="137" t="b">
        <v>0</v>
      </c>
      <c r="F5" s="131"/>
      <c r="G5" s="50"/>
      <c r="I5" s="115" t="s">
        <v>26</v>
      </c>
      <c r="J5" s="118">
        <f>J6+J7</f>
        <v>430</v>
      </c>
    </row>
    <row r="6" spans="2:20">
      <c r="B6" s="253"/>
      <c r="C6" s="264" t="s">
        <v>981</v>
      </c>
      <c r="D6" s="83">
        <v>92</v>
      </c>
      <c r="E6" s="135" t="b">
        <v>1</v>
      </c>
      <c r="F6" s="106">
        <v>46078</v>
      </c>
      <c r="G6" s="16" t="s">
        <v>63</v>
      </c>
      <c r="I6" s="116" t="s">
        <v>27</v>
      </c>
      <c r="J6" s="119">
        <f>COUNTIFS(E6:E435,TRUE)</f>
        <v>171</v>
      </c>
    </row>
    <row r="7" spans="2:20">
      <c r="B7" s="253"/>
      <c r="C7" s="265"/>
      <c r="D7" s="84">
        <v>93</v>
      </c>
      <c r="E7" s="135" t="b">
        <v>1</v>
      </c>
      <c r="F7" s="106">
        <v>46078</v>
      </c>
      <c r="G7" s="16" t="s">
        <v>53</v>
      </c>
      <c r="I7" s="117" t="s">
        <v>28</v>
      </c>
      <c r="J7" s="120">
        <f>COUNTIFS(E6:E435,FALSE)</f>
        <v>259</v>
      </c>
      <c r="T7" s="102" t="s">
        <v>51</v>
      </c>
    </row>
    <row r="8" spans="2:20">
      <c r="B8" s="253"/>
      <c r="C8" s="265"/>
      <c r="D8" s="84">
        <v>94</v>
      </c>
      <c r="E8" s="135" t="b">
        <v>1</v>
      </c>
      <c r="F8" s="106">
        <v>46078</v>
      </c>
      <c r="G8" s="16" t="s">
        <v>81</v>
      </c>
      <c r="T8" s="102" t="s">
        <v>53</v>
      </c>
    </row>
    <row r="9" spans="2:20">
      <c r="B9" s="253"/>
      <c r="C9" s="266"/>
      <c r="D9" s="85">
        <v>95</v>
      </c>
      <c r="E9" s="135" t="b">
        <v>1</v>
      </c>
      <c r="F9" s="106">
        <v>46078</v>
      </c>
      <c r="G9" s="16" t="s">
        <v>66</v>
      </c>
      <c r="T9" s="102" t="s">
        <v>56</v>
      </c>
    </row>
    <row r="10" spans="2:20">
      <c r="B10" s="253"/>
      <c r="C10" s="261" t="s">
        <v>982</v>
      </c>
      <c r="D10" s="83">
        <v>192</v>
      </c>
      <c r="E10" s="135" t="b">
        <v>1</v>
      </c>
      <c r="F10" s="106">
        <v>46078</v>
      </c>
      <c r="G10" s="16" t="s">
        <v>85</v>
      </c>
      <c r="T10" s="102" t="s">
        <v>59</v>
      </c>
    </row>
    <row r="11" spans="2:20">
      <c r="B11" s="253"/>
      <c r="C11" s="262"/>
      <c r="D11" s="84">
        <v>193</v>
      </c>
      <c r="E11" s="135" t="b">
        <v>1</v>
      </c>
      <c r="F11" s="106">
        <v>46078</v>
      </c>
      <c r="G11" s="16" t="s">
        <v>267</v>
      </c>
      <c r="T11" s="102" t="s">
        <v>62</v>
      </c>
    </row>
    <row r="12" spans="2:20">
      <c r="B12" s="253"/>
      <c r="C12" s="262"/>
      <c r="D12" s="84">
        <v>194</v>
      </c>
      <c r="E12" s="135" t="b">
        <v>1</v>
      </c>
      <c r="F12" s="106">
        <v>46078</v>
      </c>
      <c r="G12" s="16" t="s">
        <v>56</v>
      </c>
      <c r="T12" s="102" t="s">
        <v>66</v>
      </c>
    </row>
    <row r="13" spans="2:20">
      <c r="B13" s="253"/>
      <c r="C13" s="263"/>
      <c r="D13" s="86">
        <v>195</v>
      </c>
      <c r="E13" s="135" t="b">
        <v>1</v>
      </c>
      <c r="F13" s="106">
        <v>46078</v>
      </c>
      <c r="G13" s="16" t="s">
        <v>56</v>
      </c>
      <c r="T13" s="102" t="s">
        <v>69</v>
      </c>
    </row>
    <row r="14" spans="2:20">
      <c r="B14" s="253"/>
      <c r="C14" s="264" t="s">
        <v>983</v>
      </c>
      <c r="D14" s="87">
        <v>270</v>
      </c>
      <c r="E14" s="135" t="b">
        <v>0</v>
      </c>
      <c r="F14" s="106"/>
      <c r="G14" s="16"/>
      <c r="T14" s="102" t="s">
        <v>72</v>
      </c>
    </row>
    <row r="15" spans="2:20">
      <c r="B15" s="253"/>
      <c r="C15" s="265"/>
      <c r="D15" s="84">
        <v>271</v>
      </c>
      <c r="E15" s="135" t="b">
        <v>0</v>
      </c>
      <c r="F15" s="106"/>
      <c r="G15" s="16"/>
      <c r="T15" s="102" t="s">
        <v>75</v>
      </c>
    </row>
    <row r="16" spans="2:20">
      <c r="B16" s="253"/>
      <c r="C16" s="265"/>
      <c r="D16" s="84">
        <v>272</v>
      </c>
      <c r="E16" s="135" t="b">
        <v>0</v>
      </c>
      <c r="F16" s="106"/>
      <c r="G16" s="16"/>
      <c r="T16" s="102" t="s">
        <v>78</v>
      </c>
    </row>
    <row r="17" spans="2:20">
      <c r="B17" s="253"/>
      <c r="C17" s="265"/>
      <c r="D17" s="84">
        <v>273</v>
      </c>
      <c r="E17" s="135" t="b">
        <v>0</v>
      </c>
      <c r="F17" s="106"/>
      <c r="G17" s="16"/>
      <c r="T17" s="102" t="s">
        <v>81</v>
      </c>
    </row>
    <row r="18" spans="2:20">
      <c r="B18" s="253"/>
      <c r="C18" s="265"/>
      <c r="D18" s="84">
        <v>274</v>
      </c>
      <c r="E18" s="135" t="b">
        <v>0</v>
      </c>
      <c r="F18" s="106"/>
      <c r="G18" s="16"/>
      <c r="T18" s="102" t="s">
        <v>63</v>
      </c>
    </row>
    <row r="19" spans="2:20">
      <c r="B19" s="253"/>
      <c r="C19" s="266"/>
      <c r="D19" s="85">
        <v>275</v>
      </c>
      <c r="E19" s="135" t="b">
        <v>0</v>
      </c>
      <c r="F19" s="106"/>
      <c r="G19" s="16"/>
      <c r="T19" s="102" t="s">
        <v>85</v>
      </c>
    </row>
    <row r="20" spans="2:20">
      <c r="B20" s="253"/>
      <c r="C20" s="261" t="s">
        <v>984</v>
      </c>
      <c r="D20" s="83">
        <v>360</v>
      </c>
      <c r="E20" s="135" t="b">
        <v>0</v>
      </c>
      <c r="F20" s="106"/>
      <c r="G20" s="16"/>
      <c r="T20" s="102" t="s">
        <v>88</v>
      </c>
    </row>
    <row r="21" spans="2:20">
      <c r="B21" s="253"/>
      <c r="C21" s="262"/>
      <c r="D21" s="84">
        <v>361</v>
      </c>
      <c r="E21" s="135" t="b">
        <v>0</v>
      </c>
      <c r="F21" s="106"/>
      <c r="G21" s="16"/>
      <c r="T21" s="102" t="s">
        <v>91</v>
      </c>
    </row>
    <row r="22" spans="2:20">
      <c r="B22" s="253"/>
      <c r="C22" s="262"/>
      <c r="D22" s="84">
        <v>362</v>
      </c>
      <c r="E22" s="135" t="b">
        <v>0</v>
      </c>
      <c r="F22" s="106"/>
      <c r="G22" s="16"/>
      <c r="T22" s="102" t="s">
        <v>94</v>
      </c>
    </row>
    <row r="23" spans="2:20">
      <c r="B23" s="253"/>
      <c r="C23" s="263"/>
      <c r="D23" s="86">
        <v>363</v>
      </c>
      <c r="E23" s="135" t="b">
        <v>0</v>
      </c>
      <c r="F23" s="106"/>
      <c r="G23" s="16"/>
      <c r="T23" s="102" t="s">
        <v>966</v>
      </c>
    </row>
    <row r="24" spans="2:20">
      <c r="B24" s="253"/>
      <c r="C24" s="264" t="s">
        <v>985</v>
      </c>
      <c r="D24" s="87">
        <v>433</v>
      </c>
      <c r="E24" s="135" t="b">
        <v>0</v>
      </c>
      <c r="F24" s="106"/>
      <c r="G24" s="16"/>
      <c r="T24" s="102"/>
    </row>
    <row r="25" spans="2:20">
      <c r="B25" s="253"/>
      <c r="C25" s="265"/>
      <c r="D25" s="84">
        <v>434</v>
      </c>
      <c r="E25" s="135" t="b">
        <v>0</v>
      </c>
      <c r="F25" s="106"/>
      <c r="G25" s="16"/>
      <c r="T25" s="102"/>
    </row>
    <row r="26" spans="2:20">
      <c r="B26" s="253"/>
      <c r="C26" s="265"/>
      <c r="D26" s="84">
        <v>435</v>
      </c>
      <c r="E26" s="135" t="b">
        <v>0</v>
      </c>
      <c r="F26" s="106"/>
      <c r="G26" s="16"/>
      <c r="T26" s="102"/>
    </row>
    <row r="27" spans="2:20">
      <c r="B27" s="253"/>
      <c r="C27" s="266"/>
      <c r="D27" s="85">
        <v>436</v>
      </c>
      <c r="E27" s="135" t="b">
        <v>0</v>
      </c>
      <c r="F27" s="106"/>
      <c r="G27" s="16"/>
      <c r="T27" s="102"/>
    </row>
    <row r="28" spans="2:20">
      <c r="B28" s="253"/>
      <c r="C28" s="261" t="s">
        <v>987</v>
      </c>
      <c r="D28" s="83">
        <v>84</v>
      </c>
      <c r="E28" s="135" t="b">
        <v>1</v>
      </c>
      <c r="F28" s="106">
        <v>46113</v>
      </c>
      <c r="G28" s="16" t="s">
        <v>267</v>
      </c>
      <c r="T28" s="102"/>
    </row>
    <row r="29" spans="2:20">
      <c r="B29" s="253"/>
      <c r="C29" s="262"/>
      <c r="D29" s="84">
        <v>85</v>
      </c>
      <c r="E29" s="135" t="b">
        <v>1</v>
      </c>
      <c r="F29" s="106">
        <v>46113</v>
      </c>
      <c r="G29" s="16" t="s">
        <v>66</v>
      </c>
      <c r="T29" s="102"/>
    </row>
    <row r="30" spans="2:20">
      <c r="B30" s="253"/>
      <c r="C30" s="262"/>
      <c r="D30" s="84">
        <v>86</v>
      </c>
      <c r="E30" s="135" t="b">
        <v>1</v>
      </c>
      <c r="F30" s="106">
        <v>46113</v>
      </c>
      <c r="G30" s="16" t="s">
        <v>53</v>
      </c>
      <c r="T30" s="102"/>
    </row>
    <row r="31" spans="2:20">
      <c r="B31" s="253"/>
      <c r="C31" s="262"/>
      <c r="D31" s="84">
        <v>87</v>
      </c>
      <c r="E31" s="135" t="b">
        <v>1</v>
      </c>
      <c r="F31" s="106">
        <v>46113</v>
      </c>
      <c r="G31" s="16" t="s">
        <v>53</v>
      </c>
      <c r="T31" s="102"/>
    </row>
    <row r="32" spans="2:20">
      <c r="B32" s="253"/>
      <c r="C32" s="262"/>
      <c r="D32" s="84">
        <v>88</v>
      </c>
      <c r="E32" s="135" t="b">
        <v>1</v>
      </c>
      <c r="F32" s="106">
        <v>46113</v>
      </c>
      <c r="G32" s="16" t="s">
        <v>63</v>
      </c>
      <c r="T32" s="102"/>
    </row>
    <row r="33" spans="2:20">
      <c r="B33" s="253"/>
      <c r="C33" s="262"/>
      <c r="D33" s="84">
        <v>89</v>
      </c>
      <c r="E33" s="135" t="b">
        <v>1</v>
      </c>
      <c r="F33" s="106">
        <v>46113</v>
      </c>
      <c r="G33" s="16" t="s">
        <v>63</v>
      </c>
      <c r="T33" s="102"/>
    </row>
    <row r="34" spans="2:20">
      <c r="B34" s="253"/>
      <c r="C34" s="262"/>
      <c r="D34" s="84">
        <v>90</v>
      </c>
      <c r="E34" s="135" t="b">
        <v>1</v>
      </c>
      <c r="F34" s="106">
        <v>46113</v>
      </c>
      <c r="G34" s="16" t="s">
        <v>56</v>
      </c>
      <c r="T34" s="102"/>
    </row>
    <row r="35" spans="2:20">
      <c r="B35" s="253"/>
      <c r="C35" s="263"/>
      <c r="D35" s="86">
        <v>91</v>
      </c>
      <c r="E35" s="135" t="b">
        <v>1</v>
      </c>
      <c r="F35" s="106">
        <v>46114</v>
      </c>
      <c r="G35" s="16" t="s">
        <v>78</v>
      </c>
      <c r="T35" s="102"/>
    </row>
    <row r="36" spans="2:20">
      <c r="B36" s="253"/>
      <c r="C36" s="264" t="s">
        <v>988</v>
      </c>
      <c r="D36" s="87">
        <v>184</v>
      </c>
      <c r="E36" s="135" t="b">
        <v>1</v>
      </c>
      <c r="F36" s="106">
        <v>46113</v>
      </c>
      <c r="G36" s="16" t="s">
        <v>72</v>
      </c>
      <c r="T36" s="102"/>
    </row>
    <row r="37" spans="2:20">
      <c r="B37" s="253"/>
      <c r="C37" s="265"/>
      <c r="D37" s="84">
        <v>185</v>
      </c>
      <c r="E37" s="135" t="b">
        <v>1</v>
      </c>
      <c r="F37" s="106">
        <v>46113</v>
      </c>
      <c r="G37" s="16" t="s">
        <v>72</v>
      </c>
      <c r="T37" s="102"/>
    </row>
    <row r="38" spans="2:20">
      <c r="B38" s="253"/>
      <c r="C38" s="265"/>
      <c r="D38" s="84">
        <v>186</v>
      </c>
      <c r="E38" s="135" t="b">
        <v>1</v>
      </c>
      <c r="F38" s="106">
        <v>46113</v>
      </c>
      <c r="G38" s="16" t="s">
        <v>69</v>
      </c>
      <c r="T38" s="102"/>
    </row>
    <row r="39" spans="2:20">
      <c r="B39" s="253"/>
      <c r="C39" s="265"/>
      <c r="D39" s="84">
        <v>187</v>
      </c>
      <c r="E39" s="135" t="b">
        <v>1</v>
      </c>
      <c r="F39" s="106">
        <v>46113</v>
      </c>
      <c r="G39" s="16" t="s">
        <v>69</v>
      </c>
      <c r="T39" s="103"/>
    </row>
    <row r="40" spans="2:20">
      <c r="B40" s="253"/>
      <c r="C40" s="265"/>
      <c r="D40" s="84">
        <v>188</v>
      </c>
      <c r="E40" s="135" t="b">
        <v>1</v>
      </c>
      <c r="F40" s="106">
        <v>46113</v>
      </c>
      <c r="G40" s="16" t="s">
        <v>66</v>
      </c>
    </row>
    <row r="41" spans="2:20">
      <c r="B41" s="253"/>
      <c r="C41" s="265"/>
      <c r="D41" s="84">
        <v>189</v>
      </c>
      <c r="E41" s="135" t="b">
        <v>1</v>
      </c>
      <c r="F41" s="106">
        <v>46113</v>
      </c>
      <c r="G41" s="16" t="s">
        <v>66</v>
      </c>
    </row>
    <row r="42" spans="2:20">
      <c r="B42" s="253"/>
      <c r="C42" s="265"/>
      <c r="D42" s="84">
        <v>190</v>
      </c>
      <c r="E42" s="135" t="b">
        <v>1</v>
      </c>
      <c r="F42" s="106">
        <v>46113</v>
      </c>
      <c r="G42" s="16" t="s">
        <v>275</v>
      </c>
    </row>
    <row r="43" spans="2:20">
      <c r="B43" s="253"/>
      <c r="C43" s="266"/>
      <c r="D43" s="85">
        <v>191</v>
      </c>
      <c r="E43" s="135" t="b">
        <v>1</v>
      </c>
      <c r="F43" s="106">
        <v>46113</v>
      </c>
      <c r="G43" s="16" t="s">
        <v>78</v>
      </c>
    </row>
    <row r="44" spans="2:20">
      <c r="B44" s="253"/>
      <c r="C44" s="261" t="s">
        <v>989</v>
      </c>
      <c r="D44" s="83">
        <v>265</v>
      </c>
      <c r="E44" s="135" t="b">
        <v>0</v>
      </c>
      <c r="F44" s="106"/>
      <c r="G44" s="16"/>
    </row>
    <row r="45" spans="2:20">
      <c r="B45" s="253"/>
      <c r="C45" s="262"/>
      <c r="D45" s="84">
        <v>266</v>
      </c>
      <c r="E45" s="135" t="b">
        <v>0</v>
      </c>
      <c r="F45" s="106"/>
      <c r="G45" s="16"/>
    </row>
    <row r="46" spans="2:20">
      <c r="B46" s="253"/>
      <c r="C46" s="262"/>
      <c r="D46" s="84">
        <v>267</v>
      </c>
      <c r="E46" s="135" t="b">
        <v>0</v>
      </c>
      <c r="F46" s="106"/>
      <c r="G46" s="16"/>
    </row>
    <row r="47" spans="2:20">
      <c r="B47" s="253"/>
      <c r="C47" s="262"/>
      <c r="D47" s="84">
        <v>268</v>
      </c>
      <c r="E47" s="135" t="b">
        <v>0</v>
      </c>
      <c r="F47" s="106"/>
      <c r="G47" s="16"/>
    </row>
    <row r="48" spans="2:20">
      <c r="B48" s="253"/>
      <c r="C48" s="263"/>
      <c r="D48" s="86">
        <v>269</v>
      </c>
      <c r="E48" s="135" t="b">
        <v>0</v>
      </c>
      <c r="F48" s="106"/>
      <c r="G48" s="16"/>
    </row>
    <row r="49" spans="2:7">
      <c r="B49" s="253"/>
      <c r="C49" s="264" t="s">
        <v>990</v>
      </c>
      <c r="D49" s="87">
        <v>355</v>
      </c>
      <c r="E49" s="135" t="b">
        <v>0</v>
      </c>
      <c r="F49" s="106"/>
      <c r="G49" s="16"/>
    </row>
    <row r="50" spans="2:7">
      <c r="B50" s="253"/>
      <c r="C50" s="265"/>
      <c r="D50" s="84">
        <v>356</v>
      </c>
      <c r="E50" s="135" t="b">
        <v>0</v>
      </c>
      <c r="F50" s="106"/>
      <c r="G50" s="16"/>
    </row>
    <row r="51" spans="2:7">
      <c r="B51" s="253"/>
      <c r="C51" s="265"/>
      <c r="D51" s="84">
        <v>357</v>
      </c>
      <c r="E51" s="135" t="b">
        <v>0</v>
      </c>
      <c r="F51" s="106"/>
      <c r="G51" s="16"/>
    </row>
    <row r="52" spans="2:7">
      <c r="B52" s="253"/>
      <c r="C52" s="265"/>
      <c r="D52" s="84">
        <v>358</v>
      </c>
      <c r="E52" s="135" t="b">
        <v>0</v>
      </c>
      <c r="F52" s="106"/>
      <c r="G52" s="16"/>
    </row>
    <row r="53" spans="2:7">
      <c r="B53" s="253"/>
      <c r="C53" s="266"/>
      <c r="D53" s="85">
        <v>359</v>
      </c>
      <c r="E53" s="135" t="b">
        <v>0</v>
      </c>
      <c r="F53" s="106"/>
      <c r="G53" s="16"/>
    </row>
    <row r="54" spans="2:7">
      <c r="B54" s="253"/>
      <c r="C54" s="261" t="s">
        <v>991</v>
      </c>
      <c r="D54" s="83">
        <v>429</v>
      </c>
      <c r="E54" s="135" t="b">
        <v>0</v>
      </c>
      <c r="F54" s="106"/>
      <c r="G54" s="16"/>
    </row>
    <row r="55" spans="2:7">
      <c r="B55" s="253"/>
      <c r="C55" s="262"/>
      <c r="D55" s="84">
        <v>430</v>
      </c>
      <c r="E55" s="135" t="b">
        <v>0</v>
      </c>
      <c r="F55" s="106"/>
      <c r="G55" s="16"/>
    </row>
    <row r="56" spans="2:7">
      <c r="B56" s="253"/>
      <c r="C56" s="262"/>
      <c r="D56" s="84">
        <v>431</v>
      </c>
      <c r="E56" s="135" t="b">
        <v>0</v>
      </c>
      <c r="F56" s="106"/>
      <c r="G56" s="16"/>
    </row>
    <row r="57" spans="2:7">
      <c r="B57" s="253"/>
      <c r="C57" s="263"/>
      <c r="D57" s="86">
        <v>432</v>
      </c>
      <c r="E57" s="135" t="b">
        <v>0</v>
      </c>
      <c r="F57" s="106"/>
      <c r="G57" s="16"/>
    </row>
    <row r="58" spans="2:7">
      <c r="B58" s="253"/>
      <c r="C58" s="264" t="s">
        <v>993</v>
      </c>
      <c r="D58" s="87">
        <v>78</v>
      </c>
      <c r="E58" s="135" t="b">
        <v>0</v>
      </c>
      <c r="F58" s="106"/>
      <c r="G58" s="16"/>
    </row>
    <row r="59" spans="2:7">
      <c r="B59" s="253"/>
      <c r="C59" s="265"/>
      <c r="D59" s="84">
        <v>79</v>
      </c>
      <c r="E59" s="135" t="b">
        <v>1</v>
      </c>
      <c r="F59" s="106">
        <v>46119</v>
      </c>
      <c r="G59" s="16" t="s">
        <v>85</v>
      </c>
    </row>
    <row r="60" spans="2:7">
      <c r="B60" s="253"/>
      <c r="C60" s="265"/>
      <c r="D60" s="84">
        <v>80</v>
      </c>
      <c r="E60" s="135" t="b">
        <v>1</v>
      </c>
      <c r="F60" s="106">
        <v>46119</v>
      </c>
      <c r="G60" s="16" t="s">
        <v>69</v>
      </c>
    </row>
    <row r="61" spans="2:7">
      <c r="B61" s="253"/>
      <c r="C61" s="265"/>
      <c r="D61" s="84">
        <v>81</v>
      </c>
      <c r="E61" s="135" t="b">
        <v>1</v>
      </c>
      <c r="F61" s="106">
        <v>46119</v>
      </c>
      <c r="G61" s="16" t="s">
        <v>69</v>
      </c>
    </row>
    <row r="62" spans="2:7">
      <c r="B62" s="253"/>
      <c r="C62" s="265"/>
      <c r="D62" s="84">
        <v>82</v>
      </c>
      <c r="E62" s="135" t="b">
        <v>1</v>
      </c>
      <c r="F62" s="106">
        <v>46119</v>
      </c>
      <c r="G62" s="16" t="s">
        <v>62</v>
      </c>
    </row>
    <row r="63" spans="2:7">
      <c r="B63" s="253"/>
      <c r="C63" s="266"/>
      <c r="D63" s="85">
        <v>83</v>
      </c>
      <c r="E63" s="135" t="b">
        <v>1</v>
      </c>
      <c r="F63" s="106">
        <v>46119</v>
      </c>
      <c r="G63" s="16" t="s">
        <v>62</v>
      </c>
    </row>
    <row r="64" spans="2:7">
      <c r="B64" s="253"/>
      <c r="C64" s="261" t="s">
        <v>994</v>
      </c>
      <c r="D64" s="83">
        <v>178</v>
      </c>
      <c r="E64" s="135" t="b">
        <v>0</v>
      </c>
      <c r="F64" s="106"/>
      <c r="G64" s="16"/>
    </row>
    <row r="65" spans="2:7">
      <c r="B65" s="253"/>
      <c r="C65" s="262"/>
      <c r="D65" s="84">
        <v>179</v>
      </c>
      <c r="E65" s="135" t="b">
        <v>1</v>
      </c>
      <c r="F65" s="106">
        <v>46119</v>
      </c>
      <c r="G65" s="16" t="s">
        <v>85</v>
      </c>
    </row>
    <row r="66" spans="2:7">
      <c r="B66" s="253"/>
      <c r="C66" s="262"/>
      <c r="D66" s="84">
        <v>180</v>
      </c>
      <c r="E66" s="135" t="b">
        <v>1</v>
      </c>
      <c r="F66" s="106">
        <v>46119</v>
      </c>
      <c r="G66" s="16" t="s">
        <v>66</v>
      </c>
    </row>
    <row r="67" spans="2:7">
      <c r="B67" s="253"/>
      <c r="C67" s="262"/>
      <c r="D67" s="84">
        <v>181</v>
      </c>
      <c r="E67" s="135" t="b">
        <v>1</v>
      </c>
      <c r="F67" s="106">
        <v>46119</v>
      </c>
      <c r="G67" s="16" t="s">
        <v>66</v>
      </c>
    </row>
    <row r="68" spans="2:7">
      <c r="B68" s="253"/>
      <c r="C68" s="262"/>
      <c r="D68" s="84">
        <v>182</v>
      </c>
      <c r="E68" s="135" t="b">
        <v>1</v>
      </c>
      <c r="F68" s="106">
        <v>46119</v>
      </c>
      <c r="G68" s="16" t="s">
        <v>53</v>
      </c>
    </row>
    <row r="69" spans="2:7">
      <c r="B69" s="253"/>
      <c r="C69" s="263"/>
      <c r="D69" s="86">
        <v>183</v>
      </c>
      <c r="E69" s="135" t="b">
        <v>1</v>
      </c>
      <c r="F69" s="106">
        <v>46119</v>
      </c>
      <c r="G69" s="16" t="s">
        <v>53</v>
      </c>
    </row>
    <row r="70" spans="2:7">
      <c r="B70" s="253"/>
      <c r="C70" s="264" t="s">
        <v>995</v>
      </c>
      <c r="D70" s="87">
        <v>261</v>
      </c>
      <c r="E70" s="135" t="b">
        <v>0</v>
      </c>
      <c r="F70" s="106"/>
      <c r="G70" s="16"/>
    </row>
    <row r="71" spans="2:7">
      <c r="B71" s="253"/>
      <c r="C71" s="265"/>
      <c r="D71" s="84">
        <v>262</v>
      </c>
      <c r="E71" s="135" t="b">
        <v>0</v>
      </c>
      <c r="F71" s="106"/>
      <c r="G71" s="16"/>
    </row>
    <row r="72" spans="2:7">
      <c r="B72" s="253"/>
      <c r="C72" s="265"/>
      <c r="D72" s="84">
        <v>263</v>
      </c>
      <c r="E72" s="135" t="b">
        <v>0</v>
      </c>
      <c r="F72" s="106"/>
      <c r="G72" s="16"/>
    </row>
    <row r="73" spans="2:7">
      <c r="B73" s="253"/>
      <c r="C73" s="266"/>
      <c r="D73" s="85">
        <v>264</v>
      </c>
      <c r="E73" s="135" t="b">
        <v>0</v>
      </c>
      <c r="F73" s="106"/>
      <c r="G73" s="16"/>
    </row>
    <row r="74" spans="2:7">
      <c r="B74" s="253"/>
      <c r="C74" s="261" t="s">
        <v>996</v>
      </c>
      <c r="D74" s="83">
        <v>351</v>
      </c>
      <c r="E74" s="135" t="b">
        <v>0</v>
      </c>
      <c r="F74" s="106"/>
      <c r="G74" s="16"/>
    </row>
    <row r="75" spans="2:7">
      <c r="B75" s="253"/>
      <c r="C75" s="262"/>
      <c r="D75" s="84">
        <v>352</v>
      </c>
      <c r="E75" s="135" t="b">
        <v>0</v>
      </c>
      <c r="F75" s="106"/>
      <c r="G75" s="16"/>
    </row>
    <row r="76" spans="2:7">
      <c r="B76" s="253"/>
      <c r="C76" s="262"/>
      <c r="D76" s="84">
        <v>353</v>
      </c>
      <c r="E76" s="135" t="b">
        <v>0</v>
      </c>
      <c r="F76" s="106"/>
      <c r="G76" s="16"/>
    </row>
    <row r="77" spans="2:7">
      <c r="B77" s="253"/>
      <c r="C77" s="263"/>
      <c r="D77" s="86">
        <v>354</v>
      </c>
      <c r="E77" s="135" t="b">
        <v>0</v>
      </c>
      <c r="F77" s="106"/>
      <c r="G77" s="16"/>
    </row>
    <row r="78" spans="2:7">
      <c r="B78" s="253"/>
      <c r="C78" s="264" t="s">
        <v>997</v>
      </c>
      <c r="D78" s="87">
        <v>421</v>
      </c>
      <c r="E78" s="135" t="b">
        <v>0</v>
      </c>
      <c r="F78" s="106"/>
      <c r="G78" s="16"/>
    </row>
    <row r="79" spans="2:7">
      <c r="B79" s="253"/>
      <c r="C79" s="265"/>
      <c r="D79" s="84">
        <v>422</v>
      </c>
      <c r="E79" s="135" t="b">
        <v>0</v>
      </c>
      <c r="F79" s="106"/>
      <c r="G79" s="16"/>
    </row>
    <row r="80" spans="2:7">
      <c r="B80" s="253"/>
      <c r="C80" s="265"/>
      <c r="D80" s="84">
        <v>423</v>
      </c>
      <c r="E80" s="135" t="b">
        <v>0</v>
      </c>
      <c r="F80" s="106"/>
      <c r="G80" s="16"/>
    </row>
    <row r="81" spans="2:7">
      <c r="B81" s="253"/>
      <c r="C81" s="265"/>
      <c r="D81" s="84">
        <v>424</v>
      </c>
      <c r="E81" s="135" t="b">
        <v>0</v>
      </c>
      <c r="F81" s="106"/>
      <c r="G81" s="16"/>
    </row>
    <row r="82" spans="2:7">
      <c r="B82" s="253"/>
      <c r="C82" s="265"/>
      <c r="D82" s="84">
        <v>425</v>
      </c>
      <c r="E82" s="135" t="b">
        <v>0</v>
      </c>
      <c r="F82" s="106"/>
      <c r="G82" s="16"/>
    </row>
    <row r="83" spans="2:7">
      <c r="B83" s="253"/>
      <c r="C83" s="265"/>
      <c r="D83" s="84">
        <v>426</v>
      </c>
      <c r="E83" s="135" t="b">
        <v>0</v>
      </c>
      <c r="F83" s="106"/>
      <c r="G83" s="16"/>
    </row>
    <row r="84" spans="2:7">
      <c r="B84" s="253"/>
      <c r="C84" s="265"/>
      <c r="D84" s="84">
        <v>427</v>
      </c>
      <c r="E84" s="135" t="b">
        <v>0</v>
      </c>
      <c r="F84" s="106"/>
      <c r="G84" s="16"/>
    </row>
    <row r="85" spans="2:7">
      <c r="B85" s="253"/>
      <c r="C85" s="266"/>
      <c r="D85" s="85">
        <v>428</v>
      </c>
      <c r="E85" s="135" t="b">
        <v>0</v>
      </c>
      <c r="F85" s="106"/>
      <c r="G85" s="16"/>
    </row>
    <row r="86" spans="2:7">
      <c r="B86" s="253"/>
      <c r="C86" s="261" t="s">
        <v>999</v>
      </c>
      <c r="D86" s="83">
        <v>71</v>
      </c>
      <c r="E86" s="135" t="b">
        <v>0</v>
      </c>
      <c r="F86" s="106"/>
      <c r="G86" s="16"/>
    </row>
    <row r="87" spans="2:7">
      <c r="B87" s="253"/>
      <c r="C87" s="262"/>
      <c r="D87" s="84">
        <v>72</v>
      </c>
      <c r="E87" s="135" t="b">
        <v>0</v>
      </c>
      <c r="F87" s="106"/>
      <c r="G87" s="16"/>
    </row>
    <row r="88" spans="2:7">
      <c r="B88" s="253"/>
      <c r="C88" s="262"/>
      <c r="D88" s="84">
        <v>73</v>
      </c>
      <c r="E88" s="135" t="b">
        <v>0</v>
      </c>
      <c r="F88" s="106"/>
      <c r="G88" s="16"/>
    </row>
    <row r="89" spans="2:7">
      <c r="B89" s="253"/>
      <c r="C89" s="262"/>
      <c r="D89" s="84">
        <v>74</v>
      </c>
      <c r="E89" s="135" t="b">
        <v>0</v>
      </c>
      <c r="F89" s="106"/>
      <c r="G89" s="16"/>
    </row>
    <row r="90" spans="2:7">
      <c r="B90" s="253"/>
      <c r="C90" s="262"/>
      <c r="D90" s="84">
        <v>75</v>
      </c>
      <c r="E90" s="135" t="b">
        <v>0</v>
      </c>
      <c r="F90" s="106"/>
      <c r="G90" s="16"/>
    </row>
    <row r="91" spans="2:7">
      <c r="B91" s="253"/>
      <c r="C91" s="262"/>
      <c r="D91" s="84">
        <v>76</v>
      </c>
      <c r="E91" s="135" t="b">
        <v>0</v>
      </c>
      <c r="F91" s="106"/>
      <c r="G91" s="16"/>
    </row>
    <row r="92" spans="2:7">
      <c r="B92" s="253"/>
      <c r="C92" s="263"/>
      <c r="D92" s="86">
        <v>77</v>
      </c>
      <c r="E92" s="135" t="b">
        <v>0</v>
      </c>
      <c r="F92" s="106"/>
      <c r="G92" s="16"/>
    </row>
    <row r="93" spans="2:7">
      <c r="B93" s="253"/>
      <c r="C93" s="264" t="s">
        <v>1000</v>
      </c>
      <c r="D93" s="87">
        <v>171</v>
      </c>
      <c r="E93" s="135" t="b">
        <v>0</v>
      </c>
      <c r="F93" s="106"/>
      <c r="G93" s="16"/>
    </row>
    <row r="94" spans="2:7">
      <c r="B94" s="253"/>
      <c r="C94" s="265"/>
      <c r="D94" s="84">
        <v>172</v>
      </c>
      <c r="E94" s="135" t="b">
        <v>1</v>
      </c>
      <c r="F94" s="106">
        <v>46176</v>
      </c>
      <c r="G94" s="16" t="s">
        <v>72</v>
      </c>
    </row>
    <row r="95" spans="2:7">
      <c r="B95" s="253"/>
      <c r="C95" s="265"/>
      <c r="D95" s="84">
        <v>173</v>
      </c>
      <c r="E95" s="135" t="b">
        <v>0</v>
      </c>
      <c r="F95" s="106">
        <v>46176</v>
      </c>
      <c r="G95" s="16" t="s">
        <v>72</v>
      </c>
    </row>
    <row r="96" spans="2:7">
      <c r="B96" s="253"/>
      <c r="C96" s="265"/>
      <c r="D96" s="84">
        <v>174</v>
      </c>
      <c r="E96" s="135" t="b">
        <v>0</v>
      </c>
      <c r="F96" s="106">
        <v>46176</v>
      </c>
      <c r="G96" s="16" t="s">
        <v>85</v>
      </c>
    </row>
    <row r="97" spans="2:7">
      <c r="B97" s="253"/>
      <c r="C97" s="265"/>
      <c r="D97" s="84">
        <v>175</v>
      </c>
      <c r="E97" s="135" t="b">
        <v>0</v>
      </c>
      <c r="F97" s="106">
        <v>46176</v>
      </c>
      <c r="G97" s="16" t="s">
        <v>69</v>
      </c>
    </row>
    <row r="98" spans="2:7">
      <c r="B98" s="253"/>
      <c r="C98" s="265"/>
      <c r="D98" s="84">
        <v>176</v>
      </c>
      <c r="E98" s="135" t="b">
        <v>0</v>
      </c>
      <c r="F98" s="106">
        <v>46176</v>
      </c>
      <c r="G98" s="16" t="s">
        <v>66</v>
      </c>
    </row>
    <row r="99" spans="2:7">
      <c r="B99" s="253"/>
      <c r="C99" s="266"/>
      <c r="D99" s="85">
        <v>177</v>
      </c>
      <c r="E99" s="135" t="b">
        <v>0</v>
      </c>
      <c r="F99" s="106"/>
      <c r="G99" s="16"/>
    </row>
    <row r="100" spans="2:7">
      <c r="B100" s="253"/>
      <c r="C100" s="261" t="s">
        <v>1001</v>
      </c>
      <c r="D100" s="83">
        <v>257</v>
      </c>
      <c r="E100" s="135" t="b">
        <v>0</v>
      </c>
      <c r="F100" s="106"/>
      <c r="G100" s="16"/>
    </row>
    <row r="101" spans="2:7">
      <c r="B101" s="253"/>
      <c r="C101" s="262"/>
      <c r="D101" s="84">
        <v>258</v>
      </c>
      <c r="E101" s="135" t="b">
        <v>0</v>
      </c>
      <c r="F101" s="106"/>
      <c r="G101" s="16"/>
    </row>
    <row r="102" spans="2:7">
      <c r="B102" s="253"/>
      <c r="C102" s="262"/>
      <c r="D102" s="84">
        <v>259</v>
      </c>
      <c r="E102" s="135" t="b">
        <v>0</v>
      </c>
      <c r="F102" s="106"/>
      <c r="G102" s="16"/>
    </row>
    <row r="103" spans="2:7">
      <c r="B103" s="253"/>
      <c r="C103" s="263"/>
      <c r="D103" s="86">
        <v>260</v>
      </c>
      <c r="E103" s="135" t="b">
        <v>0</v>
      </c>
      <c r="F103" s="106"/>
      <c r="G103" s="16"/>
    </row>
    <row r="104" spans="2:7">
      <c r="B104" s="253"/>
      <c r="C104" s="264" t="s">
        <v>1002</v>
      </c>
      <c r="D104" s="87">
        <v>347</v>
      </c>
      <c r="E104" s="135" t="b">
        <v>0</v>
      </c>
      <c r="F104" s="106"/>
      <c r="G104" s="16"/>
    </row>
    <row r="105" spans="2:7">
      <c r="B105" s="253"/>
      <c r="C105" s="265"/>
      <c r="D105" s="84">
        <v>348</v>
      </c>
      <c r="E105" s="135" t="b">
        <v>0</v>
      </c>
      <c r="F105" s="106"/>
      <c r="G105" s="16"/>
    </row>
    <row r="106" spans="2:7">
      <c r="B106" s="253"/>
      <c r="C106" s="265"/>
      <c r="D106" s="84">
        <v>349</v>
      </c>
      <c r="E106" s="135" t="b">
        <v>0</v>
      </c>
      <c r="F106" s="106"/>
      <c r="G106" s="16"/>
    </row>
    <row r="107" spans="2:7">
      <c r="B107" s="253"/>
      <c r="C107" s="266"/>
      <c r="D107" s="85">
        <v>350</v>
      </c>
      <c r="E107" s="135" t="b">
        <v>0</v>
      </c>
      <c r="F107" s="106"/>
      <c r="G107" s="16"/>
    </row>
    <row r="108" spans="2:7">
      <c r="B108" s="253"/>
      <c r="C108" s="261" t="s">
        <v>1003</v>
      </c>
      <c r="D108" s="83">
        <v>415</v>
      </c>
      <c r="E108" s="135" t="b">
        <v>0</v>
      </c>
      <c r="F108" s="106"/>
      <c r="G108" s="16"/>
    </row>
    <row r="109" spans="2:7">
      <c r="B109" s="253"/>
      <c r="C109" s="262"/>
      <c r="D109" s="84">
        <v>416</v>
      </c>
      <c r="E109" s="135" t="b">
        <v>0</v>
      </c>
      <c r="F109" s="106"/>
      <c r="G109" s="16"/>
    </row>
    <row r="110" spans="2:7">
      <c r="B110" s="253"/>
      <c r="C110" s="262"/>
      <c r="D110" s="84">
        <v>417</v>
      </c>
      <c r="E110" s="135" t="b">
        <v>0</v>
      </c>
      <c r="F110" s="106"/>
      <c r="G110" s="16"/>
    </row>
    <row r="111" spans="2:7">
      <c r="B111" s="253"/>
      <c r="C111" s="262"/>
      <c r="D111" s="84">
        <v>418</v>
      </c>
      <c r="E111" s="135" t="b">
        <v>0</v>
      </c>
      <c r="F111" s="106"/>
      <c r="G111" s="16"/>
    </row>
    <row r="112" spans="2:7">
      <c r="B112" s="253"/>
      <c r="C112" s="262"/>
      <c r="D112" s="84">
        <v>419</v>
      </c>
      <c r="E112" s="135" t="b">
        <v>0</v>
      </c>
      <c r="F112" s="106"/>
      <c r="G112" s="16"/>
    </row>
    <row r="113" spans="2:7">
      <c r="B113" s="253"/>
      <c r="C113" s="263"/>
      <c r="D113" s="86">
        <v>420</v>
      </c>
      <c r="E113" s="135" t="b">
        <v>0</v>
      </c>
      <c r="F113" s="106"/>
      <c r="G113" s="16"/>
    </row>
    <row r="114" spans="2:7">
      <c r="B114" s="253"/>
      <c r="C114" s="264" t="s">
        <v>1005</v>
      </c>
      <c r="D114" s="87">
        <v>63</v>
      </c>
      <c r="E114" s="135" t="b">
        <v>1</v>
      </c>
      <c r="F114" s="106">
        <v>46084</v>
      </c>
      <c r="G114" s="16" t="s">
        <v>78</v>
      </c>
    </row>
    <row r="115" spans="2:7">
      <c r="B115" s="253"/>
      <c r="C115" s="265"/>
      <c r="D115" s="84">
        <v>64</v>
      </c>
      <c r="E115" s="135" t="b">
        <v>1</v>
      </c>
      <c r="F115" s="106">
        <v>46084</v>
      </c>
      <c r="G115" s="16" t="s">
        <v>267</v>
      </c>
    </row>
    <row r="116" spans="2:7">
      <c r="B116" s="253"/>
      <c r="C116" s="265"/>
      <c r="D116" s="84">
        <v>65</v>
      </c>
      <c r="E116" s="135" t="b">
        <v>1</v>
      </c>
      <c r="F116" s="106">
        <v>46084</v>
      </c>
      <c r="G116" s="16" t="s">
        <v>72</v>
      </c>
    </row>
    <row r="117" spans="2:7">
      <c r="B117" s="253"/>
      <c r="C117" s="265"/>
      <c r="D117" s="84">
        <v>66</v>
      </c>
      <c r="E117" s="135" t="b">
        <v>1</v>
      </c>
      <c r="F117" s="106">
        <v>46056</v>
      </c>
      <c r="G117" s="16" t="s">
        <v>275</v>
      </c>
    </row>
    <row r="118" spans="2:7">
      <c r="B118" s="253"/>
      <c r="C118" s="265"/>
      <c r="D118" s="84">
        <v>67</v>
      </c>
      <c r="E118" s="135" t="b">
        <v>1</v>
      </c>
      <c r="F118" s="106">
        <v>46084</v>
      </c>
      <c r="G118" s="16" t="s">
        <v>53</v>
      </c>
    </row>
    <row r="119" spans="2:7">
      <c r="B119" s="253"/>
      <c r="C119" s="265"/>
      <c r="D119" s="84">
        <v>68</v>
      </c>
      <c r="E119" s="135" t="b">
        <v>1</v>
      </c>
      <c r="F119" s="106">
        <v>46084</v>
      </c>
      <c r="G119" s="16" t="s">
        <v>53</v>
      </c>
    </row>
    <row r="120" spans="2:7">
      <c r="B120" s="253"/>
      <c r="C120" s="265"/>
      <c r="D120" s="84">
        <v>69</v>
      </c>
      <c r="E120" s="135" t="b">
        <v>1</v>
      </c>
      <c r="F120" s="106">
        <v>46084</v>
      </c>
      <c r="G120" s="16" t="s">
        <v>85</v>
      </c>
    </row>
    <row r="121" spans="2:7">
      <c r="B121" s="253"/>
      <c r="C121" s="266"/>
      <c r="D121" s="85">
        <v>70</v>
      </c>
      <c r="E121" s="135" t="b">
        <v>1</v>
      </c>
      <c r="F121" s="106">
        <v>46084</v>
      </c>
      <c r="G121" s="16" t="s">
        <v>85</v>
      </c>
    </row>
    <row r="122" spans="2:7">
      <c r="B122" s="253"/>
      <c r="C122" s="261" t="s">
        <v>1006</v>
      </c>
      <c r="D122" s="83">
        <v>163</v>
      </c>
      <c r="E122" s="135" t="b">
        <v>1</v>
      </c>
      <c r="F122" s="106">
        <v>46084</v>
      </c>
      <c r="G122" s="16" t="s">
        <v>66</v>
      </c>
    </row>
    <row r="123" spans="2:7">
      <c r="B123" s="253"/>
      <c r="C123" s="262"/>
      <c r="D123" s="84">
        <v>164</v>
      </c>
      <c r="E123" s="135" t="b">
        <v>1</v>
      </c>
      <c r="F123" s="106">
        <v>46084</v>
      </c>
      <c r="G123" s="16" t="s">
        <v>85</v>
      </c>
    </row>
    <row r="124" spans="2:7">
      <c r="B124" s="253"/>
      <c r="C124" s="262"/>
      <c r="D124" s="84">
        <v>165</v>
      </c>
      <c r="E124" s="135" t="b">
        <v>1</v>
      </c>
      <c r="F124" s="106">
        <v>46084</v>
      </c>
      <c r="G124" s="16" t="s">
        <v>56</v>
      </c>
    </row>
    <row r="125" spans="2:7">
      <c r="B125" s="253"/>
      <c r="C125" s="262"/>
      <c r="D125" s="84">
        <v>166</v>
      </c>
      <c r="E125" s="135" t="b">
        <v>1</v>
      </c>
      <c r="F125" s="106">
        <v>46084</v>
      </c>
      <c r="G125" s="16" t="s">
        <v>85</v>
      </c>
    </row>
    <row r="126" spans="2:7">
      <c r="B126" s="253"/>
      <c r="C126" s="262"/>
      <c r="D126" s="84">
        <v>167</v>
      </c>
      <c r="E126" s="135" t="b">
        <v>1</v>
      </c>
      <c r="F126" s="106">
        <v>46084</v>
      </c>
      <c r="G126" s="16" t="s">
        <v>63</v>
      </c>
    </row>
    <row r="127" spans="2:7">
      <c r="B127" s="253"/>
      <c r="C127" s="262"/>
      <c r="D127" s="84">
        <v>168</v>
      </c>
      <c r="E127" s="135" t="b">
        <v>1</v>
      </c>
      <c r="F127" s="106">
        <v>46084</v>
      </c>
      <c r="G127" s="16" t="s">
        <v>63</v>
      </c>
    </row>
    <row r="128" spans="2:7">
      <c r="B128" s="253"/>
      <c r="C128" s="262"/>
      <c r="D128" s="84">
        <v>169</v>
      </c>
      <c r="E128" s="135" t="b">
        <v>1</v>
      </c>
      <c r="F128" s="106">
        <v>46084</v>
      </c>
      <c r="G128" s="16" t="s">
        <v>62</v>
      </c>
    </row>
    <row r="129" spans="2:7">
      <c r="B129" s="253"/>
      <c r="C129" s="263"/>
      <c r="D129" s="86">
        <v>170</v>
      </c>
      <c r="E129" s="135" t="b">
        <v>1</v>
      </c>
      <c r="F129" s="106">
        <v>46084</v>
      </c>
      <c r="G129" s="16" t="s">
        <v>62</v>
      </c>
    </row>
    <row r="130" spans="2:7">
      <c r="B130" s="253"/>
      <c r="C130" s="264" t="s">
        <v>1007</v>
      </c>
      <c r="D130" s="87">
        <v>251</v>
      </c>
      <c r="E130" s="135" t="b">
        <v>0</v>
      </c>
      <c r="F130" s="106"/>
      <c r="G130" s="16"/>
    </row>
    <row r="131" spans="2:7">
      <c r="B131" s="253"/>
      <c r="C131" s="265"/>
      <c r="D131" s="84">
        <v>252</v>
      </c>
      <c r="E131" s="135" t="b">
        <v>0</v>
      </c>
      <c r="F131" s="106"/>
      <c r="G131" s="16"/>
    </row>
    <row r="132" spans="2:7">
      <c r="B132" s="253"/>
      <c r="C132" s="265"/>
      <c r="D132" s="84">
        <v>253</v>
      </c>
      <c r="E132" s="135" t="b">
        <v>0</v>
      </c>
      <c r="F132" s="106"/>
      <c r="G132" s="16"/>
    </row>
    <row r="133" spans="2:7">
      <c r="B133" s="253"/>
      <c r="C133" s="265"/>
      <c r="D133" s="84">
        <v>254</v>
      </c>
      <c r="E133" s="135" t="b">
        <v>0</v>
      </c>
      <c r="F133" s="106"/>
      <c r="G133" s="16"/>
    </row>
    <row r="134" spans="2:7">
      <c r="B134" s="253"/>
      <c r="C134" s="265"/>
      <c r="D134" s="84">
        <v>255</v>
      </c>
      <c r="E134" s="135" t="b">
        <v>0</v>
      </c>
      <c r="F134" s="106"/>
      <c r="G134" s="16"/>
    </row>
    <row r="135" spans="2:7">
      <c r="B135" s="253"/>
      <c r="C135" s="266"/>
      <c r="D135" s="85">
        <v>256</v>
      </c>
      <c r="E135" s="135" t="b">
        <v>0</v>
      </c>
      <c r="F135" s="106"/>
      <c r="G135" s="16"/>
    </row>
    <row r="136" spans="2:7">
      <c r="B136" s="253"/>
      <c r="C136" s="261" t="s">
        <v>1008</v>
      </c>
      <c r="D136" s="83">
        <v>341</v>
      </c>
      <c r="E136" s="135" t="b">
        <v>0</v>
      </c>
      <c r="F136" s="106"/>
      <c r="G136" s="16"/>
    </row>
    <row r="137" spans="2:7">
      <c r="B137" s="253"/>
      <c r="C137" s="262"/>
      <c r="D137" s="84">
        <v>342</v>
      </c>
      <c r="E137" s="135" t="b">
        <v>0</v>
      </c>
      <c r="F137" s="106"/>
      <c r="G137" s="16"/>
    </row>
    <row r="138" spans="2:7">
      <c r="B138" s="253"/>
      <c r="C138" s="262"/>
      <c r="D138" s="84">
        <v>343</v>
      </c>
      <c r="E138" s="135" t="b">
        <v>0</v>
      </c>
      <c r="F138" s="106"/>
      <c r="G138" s="16"/>
    </row>
    <row r="139" spans="2:7">
      <c r="B139" s="253"/>
      <c r="C139" s="262"/>
      <c r="D139" s="84">
        <v>344</v>
      </c>
      <c r="E139" s="135" t="b">
        <v>0</v>
      </c>
      <c r="F139" s="106"/>
      <c r="G139" s="16"/>
    </row>
    <row r="140" spans="2:7">
      <c r="B140" s="253"/>
      <c r="C140" s="262"/>
      <c r="D140" s="84">
        <v>345</v>
      </c>
      <c r="E140" s="135" t="b">
        <v>0</v>
      </c>
      <c r="F140" s="106"/>
      <c r="G140" s="16"/>
    </row>
    <row r="141" spans="2:7">
      <c r="B141" s="253"/>
      <c r="C141" s="263"/>
      <c r="D141" s="86">
        <v>346</v>
      </c>
      <c r="E141" s="135" t="b">
        <v>0</v>
      </c>
      <c r="F141" s="106"/>
      <c r="G141" s="16"/>
    </row>
    <row r="142" spans="2:7">
      <c r="B142" s="253"/>
      <c r="C142" s="264" t="s">
        <v>1009</v>
      </c>
      <c r="D142" s="87">
        <v>411</v>
      </c>
      <c r="E142" s="135" t="b">
        <v>0</v>
      </c>
      <c r="F142" s="106"/>
      <c r="G142" s="16"/>
    </row>
    <row r="143" spans="2:7">
      <c r="B143" s="253"/>
      <c r="C143" s="265"/>
      <c r="D143" s="84">
        <v>412</v>
      </c>
      <c r="E143" s="135" t="b">
        <v>0</v>
      </c>
      <c r="F143" s="106"/>
      <c r="G143" s="16"/>
    </row>
    <row r="144" spans="2:7">
      <c r="B144" s="253"/>
      <c r="C144" s="265"/>
      <c r="D144" s="84">
        <v>413</v>
      </c>
      <c r="E144" s="135" t="b">
        <v>0</v>
      </c>
      <c r="F144" s="106"/>
      <c r="G144" s="16"/>
    </row>
    <row r="145" spans="2:7">
      <c r="B145" s="253"/>
      <c r="C145" s="266"/>
      <c r="D145" s="85">
        <v>414</v>
      </c>
      <c r="E145" s="135" t="b">
        <v>0</v>
      </c>
      <c r="F145" s="106"/>
      <c r="G145" s="16"/>
    </row>
    <row r="146" spans="2:7">
      <c r="B146" s="253"/>
      <c r="C146" s="261" t="s">
        <v>1085</v>
      </c>
      <c r="D146" s="83">
        <v>58</v>
      </c>
      <c r="E146" s="135" t="b">
        <v>0</v>
      </c>
      <c r="F146" s="106"/>
      <c r="G146" s="16"/>
    </row>
    <row r="147" spans="2:7">
      <c r="B147" s="253"/>
      <c r="C147" s="262"/>
      <c r="D147" s="84">
        <v>59</v>
      </c>
      <c r="E147" s="135" t="b">
        <v>1</v>
      </c>
      <c r="F147" s="106">
        <v>46068</v>
      </c>
      <c r="G147" s="16" t="s">
        <v>53</v>
      </c>
    </row>
    <row r="148" spans="2:7">
      <c r="B148" s="253"/>
      <c r="C148" s="262"/>
      <c r="D148" s="84">
        <v>60</v>
      </c>
      <c r="E148" s="135" t="b">
        <v>1</v>
      </c>
      <c r="F148" s="106">
        <v>46068</v>
      </c>
      <c r="G148" s="16" t="s">
        <v>53</v>
      </c>
    </row>
    <row r="149" spans="2:7">
      <c r="B149" s="253"/>
      <c r="C149" s="262"/>
      <c r="D149" s="84">
        <v>61</v>
      </c>
      <c r="E149" s="135" t="b">
        <v>1</v>
      </c>
      <c r="F149" s="106">
        <v>46065</v>
      </c>
      <c r="G149" s="16" t="s">
        <v>63</v>
      </c>
    </row>
    <row r="150" spans="2:7">
      <c r="B150" s="253"/>
      <c r="C150" s="263"/>
      <c r="D150" s="86">
        <v>62</v>
      </c>
      <c r="E150" s="135" t="b">
        <v>0</v>
      </c>
      <c r="F150" s="106"/>
      <c r="G150" s="16"/>
    </row>
    <row r="151" spans="2:7">
      <c r="B151" s="253"/>
      <c r="C151" s="261" t="s">
        <v>1012</v>
      </c>
      <c r="D151" s="83">
        <v>158</v>
      </c>
      <c r="E151" s="135" t="b">
        <v>0</v>
      </c>
      <c r="F151" s="106"/>
      <c r="G151" s="16"/>
    </row>
    <row r="152" spans="2:7">
      <c r="B152" s="253"/>
      <c r="C152" s="262"/>
      <c r="D152" s="84">
        <v>159</v>
      </c>
      <c r="E152" s="135" t="b">
        <v>1</v>
      </c>
      <c r="F152" s="106">
        <v>46068</v>
      </c>
      <c r="G152" s="16" t="s">
        <v>53</v>
      </c>
    </row>
    <row r="153" spans="2:7">
      <c r="B153" s="253"/>
      <c r="C153" s="262"/>
      <c r="D153" s="84">
        <v>160</v>
      </c>
      <c r="E153" s="135" t="b">
        <v>1</v>
      </c>
      <c r="F153" s="106">
        <v>46068</v>
      </c>
      <c r="G153" s="16" t="s">
        <v>53</v>
      </c>
    </row>
    <row r="154" spans="2:7">
      <c r="B154" s="253"/>
      <c r="C154" s="262"/>
      <c r="D154" s="84">
        <v>161</v>
      </c>
      <c r="E154" s="135" t="b">
        <v>1</v>
      </c>
      <c r="F154" s="106">
        <v>46065</v>
      </c>
      <c r="G154" s="16" t="s">
        <v>63</v>
      </c>
    </row>
    <row r="155" spans="2:7">
      <c r="B155" s="253"/>
      <c r="C155" s="263"/>
      <c r="D155" s="86">
        <v>162</v>
      </c>
      <c r="E155" s="135" t="b">
        <v>0</v>
      </c>
      <c r="F155" s="106"/>
      <c r="G155" s="16"/>
    </row>
    <row r="156" spans="2:7">
      <c r="B156" s="253"/>
      <c r="C156" s="264" t="s">
        <v>1013</v>
      </c>
      <c r="D156" s="87">
        <v>246</v>
      </c>
      <c r="E156" s="135" t="b">
        <v>0</v>
      </c>
      <c r="F156" s="106"/>
      <c r="G156" s="16"/>
    </row>
    <row r="157" spans="2:7">
      <c r="B157" s="253"/>
      <c r="C157" s="265"/>
      <c r="D157" s="84">
        <v>247</v>
      </c>
      <c r="E157" s="135" t="b">
        <v>0</v>
      </c>
      <c r="F157" s="106"/>
      <c r="G157" s="16"/>
    </row>
    <row r="158" spans="2:7">
      <c r="B158" s="253"/>
      <c r="C158" s="265"/>
      <c r="D158" s="84">
        <v>248</v>
      </c>
      <c r="E158" s="135" t="b">
        <v>0</v>
      </c>
      <c r="F158" s="106"/>
      <c r="G158" s="16"/>
    </row>
    <row r="159" spans="2:7">
      <c r="B159" s="253"/>
      <c r="C159" s="265"/>
      <c r="D159" s="84">
        <v>249</v>
      </c>
      <c r="E159" s="135" t="b">
        <v>0</v>
      </c>
      <c r="F159" s="106"/>
      <c r="G159" s="16"/>
    </row>
    <row r="160" spans="2:7">
      <c r="B160" s="253"/>
      <c r="C160" s="266"/>
      <c r="D160" s="85">
        <v>250</v>
      </c>
      <c r="E160" s="135" t="b">
        <v>0</v>
      </c>
      <c r="F160" s="106"/>
      <c r="G160" s="16"/>
    </row>
    <row r="161" spans="2:7">
      <c r="B161" s="253"/>
      <c r="C161" s="261" t="s">
        <v>1014</v>
      </c>
      <c r="D161" s="83">
        <v>332</v>
      </c>
      <c r="E161" s="135" t="b">
        <v>0</v>
      </c>
      <c r="F161" s="106"/>
      <c r="G161" s="16"/>
    </row>
    <row r="162" spans="2:7">
      <c r="B162" s="253"/>
      <c r="C162" s="262"/>
      <c r="D162" s="84">
        <v>333</v>
      </c>
      <c r="E162" s="135" t="b">
        <v>0</v>
      </c>
      <c r="F162" s="106"/>
      <c r="G162" s="16"/>
    </row>
    <row r="163" spans="2:7">
      <c r="B163" s="253"/>
      <c r="C163" s="262"/>
      <c r="D163" s="84">
        <v>334</v>
      </c>
      <c r="E163" s="135" t="b">
        <v>0</v>
      </c>
      <c r="F163" s="106"/>
      <c r="G163" s="16"/>
    </row>
    <row r="164" spans="2:7">
      <c r="B164" s="253"/>
      <c r="C164" s="262"/>
      <c r="D164" s="84">
        <v>335</v>
      </c>
      <c r="E164" s="135" t="b">
        <v>0</v>
      </c>
      <c r="F164" s="106"/>
      <c r="G164" s="16"/>
    </row>
    <row r="165" spans="2:7">
      <c r="B165" s="253"/>
      <c r="C165" s="262"/>
      <c r="D165" s="84">
        <v>336</v>
      </c>
      <c r="E165" s="135" t="b">
        <v>0</v>
      </c>
      <c r="F165" s="106"/>
      <c r="G165" s="16"/>
    </row>
    <row r="166" spans="2:7">
      <c r="B166" s="253"/>
      <c r="C166" s="262"/>
      <c r="D166" s="84">
        <v>337</v>
      </c>
      <c r="E166" s="135" t="b">
        <v>0</v>
      </c>
      <c r="F166" s="106"/>
      <c r="G166" s="16"/>
    </row>
    <row r="167" spans="2:7">
      <c r="B167" s="253"/>
      <c r="C167" s="262"/>
      <c r="D167" s="84">
        <v>338</v>
      </c>
      <c r="E167" s="135" t="b">
        <v>0</v>
      </c>
      <c r="F167" s="106"/>
      <c r="G167" s="16"/>
    </row>
    <row r="168" spans="2:7">
      <c r="B168" s="253"/>
      <c r="C168" s="262"/>
      <c r="D168" s="84">
        <v>339</v>
      </c>
      <c r="E168" s="135" t="b">
        <v>0</v>
      </c>
      <c r="F168" s="106"/>
      <c r="G168" s="16"/>
    </row>
    <row r="169" spans="2:7">
      <c r="B169" s="253"/>
      <c r="C169" s="263"/>
      <c r="D169" s="85">
        <v>340</v>
      </c>
      <c r="E169" s="135" t="b">
        <v>0</v>
      </c>
      <c r="F169" s="106"/>
      <c r="G169" s="16"/>
    </row>
    <row r="170" spans="2:7">
      <c r="B170" s="253"/>
      <c r="C170" s="264" t="s">
        <v>1015</v>
      </c>
      <c r="D170" s="152">
        <v>405</v>
      </c>
      <c r="E170" s="155" t="b">
        <v>0</v>
      </c>
      <c r="F170" s="106"/>
      <c r="G170" s="16"/>
    </row>
    <row r="171" spans="2:7">
      <c r="B171" s="253"/>
      <c r="C171" s="265"/>
      <c r="D171" s="153">
        <v>406</v>
      </c>
      <c r="E171" s="155" t="b">
        <v>0</v>
      </c>
      <c r="F171" s="106"/>
      <c r="G171" s="16"/>
    </row>
    <row r="172" spans="2:7">
      <c r="B172" s="253"/>
      <c r="C172" s="265"/>
      <c r="D172" s="153">
        <v>407</v>
      </c>
      <c r="E172" s="155" t="b">
        <v>0</v>
      </c>
      <c r="F172" s="106"/>
      <c r="G172" s="16"/>
    </row>
    <row r="173" spans="2:7">
      <c r="B173" s="253"/>
      <c r="C173" s="265"/>
      <c r="D173" s="153">
        <v>408</v>
      </c>
      <c r="E173" s="155" t="b">
        <v>0</v>
      </c>
      <c r="F173" s="106"/>
      <c r="G173" s="16"/>
    </row>
    <row r="174" spans="2:7">
      <c r="B174" s="253"/>
      <c r="C174" s="265"/>
      <c r="D174" s="153">
        <v>409</v>
      </c>
      <c r="E174" s="155" t="b">
        <v>0</v>
      </c>
      <c r="F174" s="106"/>
      <c r="G174" s="16"/>
    </row>
    <row r="175" spans="2:7">
      <c r="B175" s="253"/>
      <c r="C175" s="266"/>
      <c r="D175" s="154">
        <v>410</v>
      </c>
      <c r="E175" s="155" t="b">
        <v>0</v>
      </c>
      <c r="F175" s="106"/>
      <c r="G175" s="16"/>
    </row>
    <row r="176" spans="2:7">
      <c r="B176" s="253"/>
      <c r="C176" s="264" t="s">
        <v>1017</v>
      </c>
      <c r="D176" s="87">
        <v>153</v>
      </c>
      <c r="E176" s="135" t="b">
        <v>0</v>
      </c>
      <c r="F176" s="106"/>
      <c r="G176" s="16"/>
    </row>
    <row r="177" spans="2:7">
      <c r="B177" s="253"/>
      <c r="C177" s="265"/>
      <c r="D177" s="84">
        <v>154</v>
      </c>
      <c r="E177" s="135" t="b">
        <v>0</v>
      </c>
      <c r="F177" s="106"/>
      <c r="G177" s="16"/>
    </row>
    <row r="178" spans="2:7">
      <c r="B178" s="253"/>
      <c r="C178" s="265"/>
      <c r="D178" s="84">
        <v>156</v>
      </c>
      <c r="E178" s="135" t="b">
        <v>0</v>
      </c>
      <c r="F178" s="106"/>
      <c r="G178" s="16"/>
    </row>
    <row r="179" spans="2:7">
      <c r="B179" s="253"/>
      <c r="C179" s="266"/>
      <c r="D179" s="85">
        <v>157</v>
      </c>
      <c r="E179" s="135" t="b">
        <v>0</v>
      </c>
      <c r="F179" s="106"/>
      <c r="G179" s="16"/>
    </row>
    <row r="180" spans="2:7">
      <c r="B180" s="253"/>
      <c r="C180" s="261" t="s">
        <v>1018</v>
      </c>
      <c r="D180" s="83">
        <v>242</v>
      </c>
      <c r="E180" s="135" t="b">
        <v>0</v>
      </c>
      <c r="F180" s="106"/>
      <c r="G180" s="16"/>
    </row>
    <row r="181" spans="2:7">
      <c r="B181" s="253"/>
      <c r="C181" s="262"/>
      <c r="D181" s="84">
        <v>243</v>
      </c>
      <c r="E181" s="135" t="b">
        <v>0</v>
      </c>
      <c r="F181" s="106"/>
      <c r="G181" s="16"/>
    </row>
    <row r="182" spans="2:7">
      <c r="B182" s="253"/>
      <c r="C182" s="262"/>
      <c r="D182" s="84">
        <v>244</v>
      </c>
      <c r="E182" s="135" t="b">
        <v>0</v>
      </c>
      <c r="F182" s="106"/>
      <c r="G182" s="16"/>
    </row>
    <row r="183" spans="2:7">
      <c r="B183" s="253"/>
      <c r="C183" s="263"/>
      <c r="D183" s="86">
        <v>245</v>
      </c>
      <c r="E183" s="135" t="b">
        <v>0</v>
      </c>
      <c r="F183" s="106"/>
      <c r="G183" s="16"/>
    </row>
    <row r="184" spans="2:7">
      <c r="B184" s="253"/>
      <c r="C184" s="264" t="s">
        <v>1019</v>
      </c>
      <c r="D184" s="87">
        <v>324</v>
      </c>
      <c r="E184" s="135" t="b">
        <v>0</v>
      </c>
      <c r="F184" s="106"/>
      <c r="G184" s="16"/>
    </row>
    <row r="185" spans="2:7">
      <c r="B185" s="253"/>
      <c r="C185" s="265"/>
      <c r="D185" s="84">
        <v>325</v>
      </c>
      <c r="E185" s="135" t="b">
        <v>0</v>
      </c>
      <c r="F185" s="106"/>
      <c r="G185" s="16"/>
    </row>
    <row r="186" spans="2:7">
      <c r="B186" s="253"/>
      <c r="C186" s="265"/>
      <c r="D186" s="84">
        <v>326</v>
      </c>
      <c r="E186" s="135" t="b">
        <v>0</v>
      </c>
      <c r="F186" s="106"/>
      <c r="G186" s="16"/>
    </row>
    <row r="187" spans="2:7">
      <c r="B187" s="253"/>
      <c r="C187" s="265"/>
      <c r="D187" s="84">
        <v>327</v>
      </c>
      <c r="E187" s="135" t="b">
        <v>0</v>
      </c>
      <c r="F187" s="106"/>
      <c r="G187" s="16"/>
    </row>
    <row r="188" spans="2:7">
      <c r="B188" s="253"/>
      <c r="C188" s="265"/>
      <c r="D188" s="84">
        <v>328</v>
      </c>
      <c r="E188" s="135" t="b">
        <v>0</v>
      </c>
      <c r="F188" s="106"/>
      <c r="G188" s="16"/>
    </row>
    <row r="189" spans="2:7">
      <c r="B189" s="253"/>
      <c r="C189" s="265"/>
      <c r="D189" s="84">
        <v>329</v>
      </c>
      <c r="E189" s="135" t="b">
        <v>0</v>
      </c>
      <c r="F189" s="106"/>
      <c r="G189" s="16"/>
    </row>
    <row r="190" spans="2:7">
      <c r="B190" s="253"/>
      <c r="C190" s="265"/>
      <c r="D190" s="84">
        <v>330</v>
      </c>
      <c r="E190" s="135" t="b">
        <v>0</v>
      </c>
      <c r="F190" s="106"/>
      <c r="G190" s="16"/>
    </row>
    <row r="191" spans="2:7">
      <c r="B191" s="253"/>
      <c r="C191" s="266"/>
      <c r="D191" s="85">
        <v>331</v>
      </c>
      <c r="E191" s="135" t="b">
        <v>0</v>
      </c>
      <c r="F191" s="106"/>
      <c r="G191" s="16"/>
    </row>
    <row r="192" spans="2:7">
      <c r="B192" s="253"/>
      <c r="C192" s="261" t="s">
        <v>1020</v>
      </c>
      <c r="D192" s="83">
        <v>401</v>
      </c>
      <c r="E192" s="135" t="b">
        <v>0</v>
      </c>
      <c r="F192" s="106"/>
      <c r="G192" s="16"/>
    </row>
    <row r="193" spans="2:7">
      <c r="B193" s="253"/>
      <c r="C193" s="262"/>
      <c r="D193" s="84">
        <v>402</v>
      </c>
      <c r="E193" s="135" t="b">
        <v>0</v>
      </c>
      <c r="F193" s="106"/>
      <c r="G193" s="16"/>
    </row>
    <row r="194" spans="2:7">
      <c r="B194" s="253"/>
      <c r="C194" s="262"/>
      <c r="D194" s="84">
        <v>403</v>
      </c>
      <c r="E194" s="135" t="b">
        <v>0</v>
      </c>
      <c r="F194" s="106"/>
      <c r="G194" s="16"/>
    </row>
    <row r="195" spans="2:7">
      <c r="B195" s="253"/>
      <c r="C195" s="263"/>
      <c r="D195" s="86">
        <v>404</v>
      </c>
      <c r="E195" s="135" t="b">
        <v>0</v>
      </c>
      <c r="F195" s="106"/>
      <c r="G195" s="16"/>
    </row>
    <row r="196" spans="2:7">
      <c r="B196" s="253"/>
      <c r="C196" s="264" t="s">
        <v>1022</v>
      </c>
      <c r="D196" s="87">
        <v>47</v>
      </c>
      <c r="E196" s="135" t="b">
        <v>1</v>
      </c>
      <c r="F196" s="106">
        <v>46133</v>
      </c>
      <c r="G196" s="16" t="s">
        <v>51</v>
      </c>
    </row>
    <row r="197" spans="2:7">
      <c r="B197" s="253"/>
      <c r="C197" s="265"/>
      <c r="D197" s="84">
        <v>48</v>
      </c>
      <c r="E197" s="135" t="b">
        <v>1</v>
      </c>
      <c r="F197" s="106">
        <v>46133</v>
      </c>
      <c r="G197" s="16" t="s">
        <v>63</v>
      </c>
    </row>
    <row r="198" spans="2:7">
      <c r="B198" s="253"/>
      <c r="C198" s="265"/>
      <c r="D198" s="84">
        <v>49</v>
      </c>
      <c r="E198" s="135" t="b">
        <v>1</v>
      </c>
      <c r="F198" s="106">
        <v>46133</v>
      </c>
      <c r="G198" s="16" t="s">
        <v>53</v>
      </c>
    </row>
    <row r="199" spans="2:7">
      <c r="B199" s="253"/>
      <c r="C199" s="265"/>
      <c r="D199" s="84">
        <v>50</v>
      </c>
      <c r="E199" s="135" t="b">
        <v>1</v>
      </c>
      <c r="F199" s="106">
        <v>46133</v>
      </c>
      <c r="G199" s="16" t="s">
        <v>85</v>
      </c>
    </row>
    <row r="200" spans="2:7">
      <c r="B200" s="253"/>
      <c r="C200" s="265"/>
      <c r="D200" s="84">
        <v>51</v>
      </c>
      <c r="E200" s="135" t="b">
        <v>1</v>
      </c>
      <c r="F200" s="106">
        <v>46133</v>
      </c>
      <c r="G200" s="16" t="s">
        <v>85</v>
      </c>
    </row>
    <row r="201" spans="2:7">
      <c r="B201" s="253"/>
      <c r="C201" s="266"/>
      <c r="D201" s="85">
        <v>52</v>
      </c>
      <c r="E201" s="135" t="b">
        <v>1</v>
      </c>
      <c r="F201" s="106">
        <v>46133</v>
      </c>
      <c r="G201" s="16" t="s">
        <v>85</v>
      </c>
    </row>
    <row r="202" spans="2:7">
      <c r="B202" s="253"/>
      <c r="C202" s="261" t="s">
        <v>1023</v>
      </c>
      <c r="D202" s="83">
        <v>147</v>
      </c>
      <c r="E202" s="135" t="b">
        <v>1</v>
      </c>
      <c r="F202" s="106">
        <v>46133</v>
      </c>
      <c r="G202" s="16" t="s">
        <v>63</v>
      </c>
    </row>
    <row r="203" spans="2:7">
      <c r="B203" s="253"/>
      <c r="C203" s="262"/>
      <c r="D203" s="84">
        <v>148</v>
      </c>
      <c r="E203" s="135" t="b">
        <v>1</v>
      </c>
      <c r="F203" s="106">
        <v>46133</v>
      </c>
      <c r="G203" s="16" t="s">
        <v>85</v>
      </c>
    </row>
    <row r="204" spans="2:7">
      <c r="B204" s="253"/>
      <c r="C204" s="262"/>
      <c r="D204" s="84">
        <v>149</v>
      </c>
      <c r="E204" s="135" t="b">
        <v>1</v>
      </c>
      <c r="F204" s="106">
        <v>46133</v>
      </c>
      <c r="G204" s="16" t="s">
        <v>81</v>
      </c>
    </row>
    <row r="205" spans="2:7">
      <c r="B205" s="253"/>
      <c r="C205" s="262"/>
      <c r="D205" s="84">
        <v>150</v>
      </c>
      <c r="E205" s="135" t="b">
        <v>1</v>
      </c>
      <c r="F205" s="106">
        <v>46133</v>
      </c>
      <c r="G205" s="16" t="s">
        <v>81</v>
      </c>
    </row>
    <row r="206" spans="2:7">
      <c r="B206" s="253"/>
      <c r="C206" s="262"/>
      <c r="D206" s="84">
        <v>151</v>
      </c>
      <c r="E206" s="135" t="b">
        <v>1</v>
      </c>
      <c r="F206" s="106">
        <v>46133</v>
      </c>
      <c r="G206" s="16" t="s">
        <v>53</v>
      </c>
    </row>
    <row r="207" spans="2:7">
      <c r="B207" s="253"/>
      <c r="C207" s="263"/>
      <c r="D207" s="86">
        <v>152</v>
      </c>
      <c r="E207" s="135" t="b">
        <v>1</v>
      </c>
      <c r="F207" s="106">
        <v>46133</v>
      </c>
      <c r="G207" s="16" t="s">
        <v>53</v>
      </c>
    </row>
    <row r="208" spans="2:7">
      <c r="B208" s="253"/>
      <c r="C208" s="264" t="s">
        <v>1024</v>
      </c>
      <c r="D208" s="87">
        <v>235</v>
      </c>
      <c r="E208" s="135" t="b">
        <v>0</v>
      </c>
      <c r="F208" s="106"/>
      <c r="G208" s="16"/>
    </row>
    <row r="209" spans="2:7">
      <c r="B209" s="253"/>
      <c r="C209" s="265"/>
      <c r="D209" s="84">
        <v>236</v>
      </c>
      <c r="E209" s="135" t="b">
        <v>0</v>
      </c>
      <c r="F209" s="106"/>
      <c r="G209" s="16"/>
    </row>
    <row r="210" spans="2:7">
      <c r="B210" s="253"/>
      <c r="C210" s="265"/>
      <c r="D210" s="84">
        <v>237</v>
      </c>
      <c r="E210" s="135" t="b">
        <v>0</v>
      </c>
      <c r="F210" s="106"/>
      <c r="G210" s="16"/>
    </row>
    <row r="211" spans="2:7">
      <c r="B211" s="253"/>
      <c r="C211" s="265"/>
      <c r="D211" s="84">
        <v>238</v>
      </c>
      <c r="E211" s="135" t="b">
        <v>0</v>
      </c>
      <c r="F211" s="106"/>
      <c r="G211" s="16"/>
    </row>
    <row r="212" spans="2:7">
      <c r="B212" s="253"/>
      <c r="C212" s="265"/>
      <c r="D212" s="84">
        <v>239</v>
      </c>
      <c r="E212" s="135" t="b">
        <v>0</v>
      </c>
      <c r="F212" s="106"/>
      <c r="G212" s="16"/>
    </row>
    <row r="213" spans="2:7">
      <c r="B213" s="253"/>
      <c r="C213" s="265"/>
      <c r="D213" s="84">
        <v>240</v>
      </c>
      <c r="E213" s="135" t="b">
        <v>0</v>
      </c>
      <c r="F213" s="106"/>
      <c r="G213" s="16"/>
    </row>
    <row r="214" spans="2:7">
      <c r="B214" s="253"/>
      <c r="C214" s="266"/>
      <c r="D214" s="85">
        <v>241</v>
      </c>
      <c r="E214" s="135" t="b">
        <v>0</v>
      </c>
      <c r="F214" s="106"/>
      <c r="G214" s="16"/>
    </row>
    <row r="215" spans="2:7">
      <c r="B215" s="253"/>
      <c r="C215" s="261" t="s">
        <v>1025</v>
      </c>
      <c r="D215" s="83">
        <v>318</v>
      </c>
      <c r="E215" s="135" t="b">
        <v>0</v>
      </c>
      <c r="F215" s="106"/>
      <c r="G215" s="16"/>
    </row>
    <row r="216" spans="2:7">
      <c r="B216" s="253"/>
      <c r="C216" s="262"/>
      <c r="D216" s="84">
        <v>319</v>
      </c>
      <c r="E216" s="135" t="b">
        <v>0</v>
      </c>
      <c r="F216" s="106"/>
      <c r="G216" s="16"/>
    </row>
    <row r="217" spans="2:7">
      <c r="B217" s="253"/>
      <c r="C217" s="262"/>
      <c r="D217" s="84">
        <v>320</v>
      </c>
      <c r="E217" s="135" t="b">
        <v>0</v>
      </c>
      <c r="F217" s="106"/>
      <c r="G217" s="16"/>
    </row>
    <row r="218" spans="2:7">
      <c r="B218" s="253"/>
      <c r="C218" s="262"/>
      <c r="D218" s="84">
        <v>321</v>
      </c>
      <c r="E218" s="135" t="b">
        <v>0</v>
      </c>
      <c r="F218" s="106"/>
      <c r="G218" s="16"/>
    </row>
    <row r="219" spans="2:7">
      <c r="B219" s="253"/>
      <c r="C219" s="262"/>
      <c r="D219" s="84">
        <v>322</v>
      </c>
      <c r="E219" s="135" t="b">
        <v>0</v>
      </c>
      <c r="F219" s="106"/>
      <c r="G219" s="16"/>
    </row>
    <row r="220" spans="2:7">
      <c r="B220" s="253"/>
      <c r="C220" s="263"/>
      <c r="D220" s="86">
        <v>323</v>
      </c>
      <c r="E220" s="135" t="b">
        <v>0</v>
      </c>
      <c r="F220" s="106"/>
      <c r="G220" s="16"/>
    </row>
    <row r="221" spans="2:7">
      <c r="B221" s="253"/>
      <c r="C221" s="264" t="s">
        <v>1027</v>
      </c>
      <c r="D221" s="87">
        <v>41</v>
      </c>
      <c r="E221" s="135" t="b">
        <v>0</v>
      </c>
      <c r="F221" s="106"/>
      <c r="G221" s="16"/>
    </row>
    <row r="222" spans="2:7">
      <c r="B222" s="253"/>
      <c r="C222" s="265"/>
      <c r="D222" s="201">
        <v>42</v>
      </c>
      <c r="E222" s="135" t="b">
        <v>1</v>
      </c>
      <c r="F222" s="106"/>
      <c r="G222" s="16"/>
    </row>
    <row r="223" spans="2:7">
      <c r="B223" s="253"/>
      <c r="C223" s="265"/>
      <c r="D223" s="84">
        <v>43</v>
      </c>
      <c r="E223" s="135" t="b">
        <v>1</v>
      </c>
      <c r="F223" s="106">
        <v>46070</v>
      </c>
      <c r="G223" s="16" t="s">
        <v>53</v>
      </c>
    </row>
    <row r="224" spans="2:7">
      <c r="B224" s="253"/>
      <c r="C224" s="265"/>
      <c r="D224" s="84">
        <v>44</v>
      </c>
      <c r="E224" s="135" t="b">
        <v>1</v>
      </c>
      <c r="F224" s="106">
        <v>46070</v>
      </c>
      <c r="G224" s="16" t="s">
        <v>267</v>
      </c>
    </row>
    <row r="225" spans="2:7">
      <c r="B225" s="253"/>
      <c r="C225" s="265"/>
      <c r="D225" s="84">
        <v>45</v>
      </c>
      <c r="E225" s="135" t="b">
        <v>1</v>
      </c>
      <c r="F225" s="106">
        <v>46068</v>
      </c>
      <c r="G225" s="16" t="s">
        <v>72</v>
      </c>
    </row>
    <row r="226" spans="2:7">
      <c r="B226" s="253"/>
      <c r="C226" s="266"/>
      <c r="D226" s="85">
        <v>46</v>
      </c>
      <c r="E226" s="135" t="b">
        <v>1</v>
      </c>
      <c r="F226" s="106">
        <v>46096</v>
      </c>
      <c r="G226" s="16" t="s">
        <v>275</v>
      </c>
    </row>
    <row r="227" spans="2:7">
      <c r="B227" s="253"/>
      <c r="C227" s="261" t="s">
        <v>1028</v>
      </c>
      <c r="D227" s="83">
        <v>141</v>
      </c>
      <c r="E227" s="135" t="b">
        <v>0</v>
      </c>
      <c r="F227" s="106"/>
      <c r="G227" s="16"/>
    </row>
    <row r="228" spans="2:7">
      <c r="B228" s="253"/>
      <c r="C228" s="262"/>
      <c r="D228" s="201">
        <v>142</v>
      </c>
      <c r="E228" s="135" t="b">
        <v>1</v>
      </c>
      <c r="F228" s="106"/>
      <c r="G228" s="16"/>
    </row>
    <row r="229" spans="2:7">
      <c r="B229" s="253"/>
      <c r="C229" s="262"/>
      <c r="D229" s="84">
        <v>143</v>
      </c>
      <c r="E229" s="135" t="b">
        <v>1</v>
      </c>
      <c r="F229" s="106">
        <v>46068</v>
      </c>
      <c r="G229" s="16" t="s">
        <v>63</v>
      </c>
    </row>
    <row r="230" spans="2:7">
      <c r="B230" s="253"/>
      <c r="C230" s="262"/>
      <c r="D230" s="84">
        <v>144</v>
      </c>
      <c r="E230" s="135" t="b">
        <v>1</v>
      </c>
      <c r="F230" s="106">
        <v>46068</v>
      </c>
      <c r="G230" s="16" t="s">
        <v>85</v>
      </c>
    </row>
    <row r="231" spans="2:7">
      <c r="B231" s="253"/>
      <c r="C231" s="262"/>
      <c r="D231" s="84">
        <v>145</v>
      </c>
      <c r="E231" s="135" t="b">
        <v>1</v>
      </c>
      <c r="F231" s="106">
        <v>46068</v>
      </c>
      <c r="G231" s="16" t="s">
        <v>267</v>
      </c>
    </row>
    <row r="232" spans="2:7">
      <c r="B232" s="253"/>
      <c r="C232" s="263"/>
      <c r="D232" s="86">
        <v>146</v>
      </c>
      <c r="E232" s="135" t="b">
        <v>1</v>
      </c>
      <c r="F232" s="106">
        <v>46068</v>
      </c>
      <c r="G232" s="16" t="s">
        <v>66</v>
      </c>
    </row>
    <row r="233" spans="2:7">
      <c r="B233" s="253"/>
      <c r="C233" s="264" t="s">
        <v>1029</v>
      </c>
      <c r="D233" s="87">
        <v>231</v>
      </c>
      <c r="E233" s="135" t="b">
        <v>0</v>
      </c>
      <c r="F233" s="106"/>
      <c r="G233" s="16"/>
    </row>
    <row r="234" spans="2:7">
      <c r="B234" s="253"/>
      <c r="C234" s="265"/>
      <c r="D234" s="84">
        <v>232</v>
      </c>
      <c r="E234" s="135" t="b">
        <v>0</v>
      </c>
      <c r="F234" s="106"/>
      <c r="G234" s="16"/>
    </row>
    <row r="235" spans="2:7">
      <c r="B235" s="253"/>
      <c r="C235" s="265"/>
      <c r="D235" s="84">
        <v>233</v>
      </c>
      <c r="E235" s="135" t="b">
        <v>0</v>
      </c>
      <c r="F235" s="106"/>
      <c r="G235" s="16"/>
    </row>
    <row r="236" spans="2:7">
      <c r="B236" s="253"/>
      <c r="C236" s="266"/>
      <c r="D236" s="85">
        <v>234</v>
      </c>
      <c r="E236" s="135" t="b">
        <v>0</v>
      </c>
      <c r="F236" s="106"/>
      <c r="G236" s="16"/>
    </row>
    <row r="237" spans="2:7">
      <c r="B237" s="253"/>
      <c r="C237" s="261" t="s">
        <v>1030</v>
      </c>
      <c r="D237" s="83">
        <v>314</v>
      </c>
      <c r="E237" s="135" t="b">
        <v>0</v>
      </c>
      <c r="F237" s="106"/>
      <c r="G237" s="16"/>
    </row>
    <row r="238" spans="2:7">
      <c r="B238" s="253"/>
      <c r="C238" s="262"/>
      <c r="D238" s="84">
        <v>315</v>
      </c>
      <c r="E238" s="135" t="b">
        <v>0</v>
      </c>
      <c r="F238" s="106"/>
      <c r="G238" s="16"/>
    </row>
    <row r="239" spans="2:7">
      <c r="B239" s="253"/>
      <c r="C239" s="262"/>
      <c r="D239" s="84">
        <v>316</v>
      </c>
      <c r="E239" s="135" t="b">
        <v>0</v>
      </c>
      <c r="F239" s="106"/>
      <c r="G239" s="16"/>
    </row>
    <row r="240" spans="2:7">
      <c r="B240" s="253"/>
      <c r="C240" s="263"/>
      <c r="D240" s="86">
        <v>317</v>
      </c>
      <c r="E240" s="135" t="b">
        <v>0</v>
      </c>
      <c r="F240" s="106"/>
      <c r="G240" s="16"/>
    </row>
    <row r="241" spans="2:7">
      <c r="B241" s="253"/>
      <c r="C241" s="264" t="s">
        <v>1032</v>
      </c>
      <c r="D241" s="87">
        <v>33</v>
      </c>
      <c r="E241" s="135" t="b">
        <v>1</v>
      </c>
      <c r="F241" s="106">
        <v>46047</v>
      </c>
      <c r="G241" s="16" t="s">
        <v>66</v>
      </c>
    </row>
    <row r="242" spans="2:7">
      <c r="B242" s="253"/>
      <c r="C242" s="265"/>
      <c r="D242" s="84">
        <v>34</v>
      </c>
      <c r="E242" s="135" t="b">
        <v>1</v>
      </c>
      <c r="F242" s="106">
        <v>46047</v>
      </c>
      <c r="G242" s="16" t="s">
        <v>66</v>
      </c>
    </row>
    <row r="243" spans="2:7">
      <c r="B243" s="253"/>
      <c r="C243" s="265"/>
      <c r="D243" s="84">
        <v>35</v>
      </c>
      <c r="E243" s="135" t="b">
        <v>1</v>
      </c>
      <c r="F243" s="106">
        <v>46048</v>
      </c>
      <c r="G243" s="16" t="s">
        <v>69</v>
      </c>
    </row>
    <row r="244" spans="2:7">
      <c r="B244" s="253"/>
      <c r="C244" s="265"/>
      <c r="D244" s="84">
        <v>36</v>
      </c>
      <c r="E244" s="135" t="b">
        <v>1</v>
      </c>
      <c r="F244" s="106">
        <v>46048</v>
      </c>
      <c r="G244" s="16" t="s">
        <v>69</v>
      </c>
    </row>
    <row r="245" spans="2:7">
      <c r="B245" s="253"/>
      <c r="C245" s="265"/>
      <c r="D245" s="84">
        <v>37</v>
      </c>
      <c r="E245" s="135" t="b">
        <v>1</v>
      </c>
      <c r="F245" s="106">
        <v>46047</v>
      </c>
      <c r="G245" s="16" t="s">
        <v>85</v>
      </c>
    </row>
    <row r="246" spans="2:7">
      <c r="B246" s="253"/>
      <c r="C246" s="265"/>
      <c r="D246" s="84">
        <v>38</v>
      </c>
      <c r="E246" s="135" t="b">
        <v>1</v>
      </c>
      <c r="F246" s="106">
        <v>46047</v>
      </c>
      <c r="G246" s="16" t="s">
        <v>85</v>
      </c>
    </row>
    <row r="247" spans="2:7">
      <c r="B247" s="253"/>
      <c r="C247" s="265"/>
      <c r="D247" s="84">
        <v>39</v>
      </c>
      <c r="E247" s="135" t="b">
        <v>1</v>
      </c>
      <c r="F247" s="106">
        <v>46048</v>
      </c>
      <c r="G247" s="16" t="s">
        <v>267</v>
      </c>
    </row>
    <row r="248" spans="2:7">
      <c r="B248" s="253"/>
      <c r="C248" s="266"/>
      <c r="D248" s="85">
        <v>40</v>
      </c>
      <c r="E248" s="135" t="b">
        <v>1</v>
      </c>
      <c r="F248" s="106">
        <v>46049</v>
      </c>
      <c r="G248" s="16" t="s">
        <v>267</v>
      </c>
    </row>
    <row r="249" spans="2:7">
      <c r="B249" s="253"/>
      <c r="C249" s="261" t="s">
        <v>1033</v>
      </c>
      <c r="D249" s="83">
        <v>133</v>
      </c>
      <c r="E249" s="135" t="b">
        <v>1</v>
      </c>
      <c r="F249" s="106">
        <v>46048</v>
      </c>
      <c r="G249" s="16" t="s">
        <v>53</v>
      </c>
    </row>
    <row r="250" spans="2:7">
      <c r="B250" s="253"/>
      <c r="C250" s="262"/>
      <c r="D250" s="84">
        <v>134</v>
      </c>
      <c r="E250" s="135" t="b">
        <v>1</v>
      </c>
      <c r="F250" s="106">
        <v>46048</v>
      </c>
      <c r="G250" s="16" t="s">
        <v>69</v>
      </c>
    </row>
    <row r="251" spans="2:7">
      <c r="B251" s="253"/>
      <c r="C251" s="262"/>
      <c r="D251" s="84">
        <v>135</v>
      </c>
      <c r="E251" s="135" t="b">
        <v>1</v>
      </c>
      <c r="F251" s="106">
        <v>46048</v>
      </c>
      <c r="G251" s="16" t="s">
        <v>66</v>
      </c>
    </row>
    <row r="252" spans="2:7">
      <c r="B252" s="253"/>
      <c r="C252" s="262"/>
      <c r="D252" s="84">
        <v>136</v>
      </c>
      <c r="E252" s="135" t="b">
        <v>1</v>
      </c>
      <c r="F252" s="106">
        <v>46048</v>
      </c>
      <c r="G252" s="16" t="s">
        <v>267</v>
      </c>
    </row>
    <row r="253" spans="2:7">
      <c r="B253" s="253"/>
      <c r="C253" s="262"/>
      <c r="D253" s="84">
        <v>137</v>
      </c>
      <c r="E253" s="135" t="b">
        <v>1</v>
      </c>
      <c r="F253" s="106">
        <v>46048</v>
      </c>
      <c r="G253" s="16" t="s">
        <v>63</v>
      </c>
    </row>
    <row r="254" spans="2:7">
      <c r="B254" s="253"/>
      <c r="C254" s="262"/>
      <c r="D254" s="84">
        <v>138</v>
      </c>
      <c r="E254" s="135" t="b">
        <v>1</v>
      </c>
      <c r="F254" s="106">
        <v>46048</v>
      </c>
      <c r="G254" s="16" t="s">
        <v>63</v>
      </c>
    </row>
    <row r="255" spans="2:7">
      <c r="B255" s="253"/>
      <c r="C255" s="262"/>
      <c r="D255" s="84">
        <v>139</v>
      </c>
      <c r="E255" s="135" t="b">
        <v>1</v>
      </c>
      <c r="F255" s="106">
        <v>46048</v>
      </c>
      <c r="G255" s="16" t="s">
        <v>53</v>
      </c>
    </row>
    <row r="256" spans="2:7">
      <c r="B256" s="253"/>
      <c r="C256" s="263"/>
      <c r="D256" s="86">
        <v>140</v>
      </c>
      <c r="E256" s="135" t="b">
        <v>1</v>
      </c>
      <c r="F256" s="106">
        <v>46048</v>
      </c>
      <c r="G256" s="16" t="s">
        <v>53</v>
      </c>
    </row>
    <row r="257" spans="2:7">
      <c r="B257" s="253"/>
      <c r="C257" s="264" t="s">
        <v>1034</v>
      </c>
      <c r="D257" s="87">
        <v>224</v>
      </c>
      <c r="E257" s="135" t="b">
        <v>0</v>
      </c>
      <c r="F257" s="106"/>
      <c r="G257" s="16"/>
    </row>
    <row r="258" spans="2:7">
      <c r="B258" s="253"/>
      <c r="C258" s="265"/>
      <c r="D258" s="84">
        <v>225</v>
      </c>
      <c r="E258" s="135" t="b">
        <v>0</v>
      </c>
      <c r="F258" s="106"/>
      <c r="G258" s="16"/>
    </row>
    <row r="259" spans="2:7">
      <c r="B259" s="253"/>
      <c r="C259" s="265"/>
      <c r="D259" s="84">
        <v>226</v>
      </c>
      <c r="E259" s="135" t="b">
        <v>0</v>
      </c>
      <c r="F259" s="106"/>
      <c r="G259" s="16"/>
    </row>
    <row r="260" spans="2:7">
      <c r="B260" s="253"/>
      <c r="C260" s="265"/>
      <c r="D260" s="84">
        <v>227</v>
      </c>
      <c r="E260" s="135" t="b">
        <v>0</v>
      </c>
      <c r="F260" s="106"/>
      <c r="G260" s="16"/>
    </row>
    <row r="261" spans="2:7">
      <c r="B261" s="253"/>
      <c r="C261" s="265"/>
      <c r="D261" s="84">
        <v>228</v>
      </c>
      <c r="E261" s="135" t="b">
        <v>0</v>
      </c>
      <c r="F261" s="106"/>
      <c r="G261" s="16"/>
    </row>
    <row r="262" spans="2:7">
      <c r="B262" s="253"/>
      <c r="C262" s="265"/>
      <c r="D262" s="84">
        <v>229</v>
      </c>
      <c r="E262" s="135" t="b">
        <v>0</v>
      </c>
      <c r="F262" s="106"/>
      <c r="G262" s="16"/>
    </row>
    <row r="263" spans="2:7">
      <c r="B263" s="253"/>
      <c r="C263" s="266"/>
      <c r="D263" s="85">
        <v>230</v>
      </c>
      <c r="E263" s="135" t="b">
        <v>0</v>
      </c>
      <c r="F263" s="106"/>
      <c r="G263" s="16"/>
    </row>
    <row r="264" spans="2:7">
      <c r="B264" s="253"/>
      <c r="C264" s="261" t="s">
        <v>1035</v>
      </c>
      <c r="D264" s="83">
        <v>306</v>
      </c>
      <c r="E264" s="135" t="b">
        <v>0</v>
      </c>
      <c r="F264" s="106"/>
      <c r="G264" s="16"/>
    </row>
    <row r="265" spans="2:7">
      <c r="B265" s="253"/>
      <c r="C265" s="262"/>
      <c r="D265" s="84">
        <v>307</v>
      </c>
      <c r="E265" s="135" t="b">
        <v>0</v>
      </c>
      <c r="F265" s="106"/>
      <c r="G265" s="16"/>
    </row>
    <row r="266" spans="2:7">
      <c r="B266" s="253"/>
      <c r="C266" s="262"/>
      <c r="D266" s="84">
        <v>308</v>
      </c>
      <c r="E266" s="135" t="b">
        <v>0</v>
      </c>
      <c r="F266" s="106"/>
      <c r="G266" s="16"/>
    </row>
    <row r="267" spans="2:7">
      <c r="B267" s="253"/>
      <c r="C267" s="262"/>
      <c r="D267" s="84">
        <v>309</v>
      </c>
      <c r="E267" s="135" t="b">
        <v>0</v>
      </c>
      <c r="F267" s="106"/>
      <c r="G267" s="16"/>
    </row>
    <row r="268" spans="2:7">
      <c r="B268" s="253"/>
      <c r="C268" s="262"/>
      <c r="D268" s="84">
        <v>310</v>
      </c>
      <c r="E268" s="135" t="b">
        <v>0</v>
      </c>
      <c r="F268" s="106"/>
      <c r="G268" s="16"/>
    </row>
    <row r="269" spans="2:7">
      <c r="B269" s="253"/>
      <c r="C269" s="262"/>
      <c r="D269" s="84">
        <v>311</v>
      </c>
      <c r="E269" s="135" t="b">
        <v>0</v>
      </c>
      <c r="F269" s="106"/>
      <c r="G269" s="16"/>
    </row>
    <row r="270" spans="2:7">
      <c r="B270" s="253"/>
      <c r="C270" s="262"/>
      <c r="D270" s="84">
        <v>312</v>
      </c>
      <c r="E270" s="135" t="b">
        <v>0</v>
      </c>
      <c r="F270" s="106"/>
      <c r="G270" s="16"/>
    </row>
    <row r="271" spans="2:7">
      <c r="B271" s="253"/>
      <c r="C271" s="263"/>
      <c r="D271" s="86">
        <v>313</v>
      </c>
      <c r="E271" s="135" t="b">
        <v>0</v>
      </c>
      <c r="F271" s="132"/>
      <c r="G271" s="52"/>
    </row>
    <row r="272" spans="2:7">
      <c r="B272" s="253"/>
      <c r="C272" s="264" t="s">
        <v>1037</v>
      </c>
      <c r="D272" s="87">
        <v>29</v>
      </c>
      <c r="E272" s="135" t="b">
        <v>1</v>
      </c>
      <c r="F272" s="131">
        <v>46093</v>
      </c>
      <c r="G272" s="50" t="s">
        <v>63</v>
      </c>
    </row>
    <row r="273" spans="2:7">
      <c r="B273" s="253"/>
      <c r="C273" s="265"/>
      <c r="D273" s="84">
        <v>30</v>
      </c>
      <c r="E273" s="135" t="b">
        <v>1</v>
      </c>
      <c r="F273" s="106">
        <v>46093</v>
      </c>
      <c r="G273" s="16" t="s">
        <v>72</v>
      </c>
    </row>
    <row r="274" spans="2:7">
      <c r="B274" s="253"/>
      <c r="C274" s="265"/>
      <c r="D274" s="84">
        <v>31</v>
      </c>
      <c r="E274" s="135" t="b">
        <v>1</v>
      </c>
      <c r="F274" s="106">
        <v>46093</v>
      </c>
      <c r="G274" s="16" t="s">
        <v>85</v>
      </c>
    </row>
    <row r="275" spans="2:7">
      <c r="B275" s="253"/>
      <c r="C275" s="266"/>
      <c r="D275" s="85">
        <v>32</v>
      </c>
      <c r="E275" s="135" t="b">
        <v>1</v>
      </c>
      <c r="F275" s="132">
        <v>46103</v>
      </c>
      <c r="G275" s="52" t="s">
        <v>53</v>
      </c>
    </row>
    <row r="276" spans="2:7">
      <c r="B276" s="253"/>
      <c r="C276" s="261" t="s">
        <v>1038</v>
      </c>
      <c r="D276" s="83">
        <v>129</v>
      </c>
      <c r="E276" s="135" t="b">
        <v>1</v>
      </c>
      <c r="F276" s="131">
        <v>46093</v>
      </c>
      <c r="G276" s="50" t="s">
        <v>62</v>
      </c>
    </row>
    <row r="277" spans="2:7">
      <c r="B277" s="253"/>
      <c r="C277" s="262"/>
      <c r="D277" s="84">
        <v>130</v>
      </c>
      <c r="E277" s="135" t="b">
        <v>1</v>
      </c>
      <c r="F277" s="106">
        <v>46093</v>
      </c>
      <c r="G277" s="16" t="s">
        <v>56</v>
      </c>
    </row>
    <row r="278" spans="2:7">
      <c r="B278" s="253"/>
      <c r="C278" s="262"/>
      <c r="D278" s="84">
        <v>131</v>
      </c>
      <c r="E278" s="135" t="b">
        <v>1</v>
      </c>
      <c r="F278" s="106">
        <v>46093</v>
      </c>
      <c r="G278" s="16" t="s">
        <v>275</v>
      </c>
    </row>
    <row r="279" spans="2:7">
      <c r="B279" s="253"/>
      <c r="C279" s="263"/>
      <c r="D279" s="86">
        <v>132</v>
      </c>
      <c r="E279" s="135" t="b">
        <v>1</v>
      </c>
      <c r="F279" s="133">
        <v>46093</v>
      </c>
      <c r="G279" s="20" t="s">
        <v>267</v>
      </c>
    </row>
    <row r="280" spans="2:7">
      <c r="B280" s="253"/>
      <c r="C280" s="264" t="s">
        <v>1039</v>
      </c>
      <c r="D280" s="87">
        <v>220</v>
      </c>
      <c r="E280" s="135" t="b">
        <v>0</v>
      </c>
      <c r="F280" s="134"/>
      <c r="G280" s="51"/>
    </row>
    <row r="281" spans="2:7">
      <c r="B281" s="253"/>
      <c r="C281" s="265"/>
      <c r="D281" s="84">
        <v>221</v>
      </c>
      <c r="E281" s="135" t="b">
        <v>0</v>
      </c>
      <c r="F281" s="106"/>
      <c r="G281" s="16"/>
    </row>
    <row r="282" spans="2:7">
      <c r="B282" s="253"/>
      <c r="C282" s="265"/>
      <c r="D282" s="84">
        <v>222</v>
      </c>
      <c r="E282" s="135" t="b">
        <v>0</v>
      </c>
      <c r="F282" s="106"/>
      <c r="G282" s="16"/>
    </row>
    <row r="283" spans="2:7">
      <c r="B283" s="253"/>
      <c r="C283" s="266"/>
      <c r="D283" s="85">
        <v>223</v>
      </c>
      <c r="E283" s="135" t="b">
        <v>0</v>
      </c>
      <c r="F283" s="106"/>
      <c r="G283" s="16"/>
    </row>
    <row r="284" spans="2:7">
      <c r="B284" s="253"/>
      <c r="C284" s="261" t="s">
        <v>1040</v>
      </c>
      <c r="D284" s="83">
        <v>301</v>
      </c>
      <c r="E284" s="135" t="b">
        <v>0</v>
      </c>
      <c r="F284" s="106"/>
      <c r="G284" s="16"/>
    </row>
    <row r="285" spans="2:7">
      <c r="B285" s="253"/>
      <c r="C285" s="262"/>
      <c r="D285" s="84">
        <v>302</v>
      </c>
      <c r="E285" s="135" t="b">
        <v>0</v>
      </c>
      <c r="F285" s="106"/>
      <c r="G285" s="16"/>
    </row>
    <row r="286" spans="2:7">
      <c r="B286" s="253"/>
      <c r="C286" s="262"/>
      <c r="D286" s="84">
        <v>303</v>
      </c>
      <c r="E286" s="135" t="b">
        <v>0</v>
      </c>
      <c r="F286" s="106"/>
      <c r="G286" s="16"/>
    </row>
    <row r="287" spans="2:7">
      <c r="B287" s="253"/>
      <c r="C287" s="262"/>
      <c r="D287" s="84">
        <v>304</v>
      </c>
      <c r="E287" s="135" t="b">
        <v>0</v>
      </c>
      <c r="F287" s="106"/>
      <c r="G287" s="16"/>
    </row>
    <row r="288" spans="2:7">
      <c r="B288" s="253"/>
      <c r="C288" s="263"/>
      <c r="D288" s="86">
        <v>305</v>
      </c>
      <c r="E288" s="135" t="b">
        <v>0</v>
      </c>
      <c r="F288" s="106"/>
      <c r="G288" s="16"/>
    </row>
    <row r="289" spans="2:7">
      <c r="B289" s="253"/>
      <c r="C289" s="264" t="s">
        <v>1042</v>
      </c>
      <c r="D289" s="87">
        <v>23</v>
      </c>
      <c r="E289" s="135" t="b">
        <v>0</v>
      </c>
      <c r="F289" s="106"/>
      <c r="G289" s="16"/>
    </row>
    <row r="290" spans="2:7">
      <c r="B290" s="253"/>
      <c r="C290" s="265"/>
      <c r="D290" s="84">
        <v>24</v>
      </c>
      <c r="E290" s="135" t="b">
        <v>1</v>
      </c>
      <c r="F290" s="106">
        <v>46051</v>
      </c>
      <c r="G290" s="16" t="s">
        <v>275</v>
      </c>
    </row>
    <row r="291" spans="2:7">
      <c r="B291" s="253"/>
      <c r="C291" s="265"/>
      <c r="D291" s="84">
        <v>25</v>
      </c>
      <c r="E291" s="135" t="b">
        <v>1</v>
      </c>
      <c r="F291" s="106">
        <v>46051</v>
      </c>
      <c r="G291" s="16" t="s">
        <v>63</v>
      </c>
    </row>
    <row r="292" spans="2:7">
      <c r="B292" s="253"/>
      <c r="C292" s="265"/>
      <c r="D292" s="84">
        <v>26</v>
      </c>
      <c r="E292" s="135" t="b">
        <v>1</v>
      </c>
      <c r="F292" s="106">
        <v>46051</v>
      </c>
      <c r="G292" s="16" t="s">
        <v>63</v>
      </c>
    </row>
    <row r="293" spans="2:7">
      <c r="B293" s="253"/>
      <c r="C293" s="265"/>
      <c r="D293" s="84">
        <v>27</v>
      </c>
      <c r="E293" s="135" t="b">
        <v>1</v>
      </c>
      <c r="F293" s="106">
        <v>46051</v>
      </c>
      <c r="G293" s="16" t="s">
        <v>72</v>
      </c>
    </row>
    <row r="294" spans="2:7">
      <c r="B294" s="253"/>
      <c r="C294" s="266"/>
      <c r="D294" s="85">
        <v>28</v>
      </c>
      <c r="E294" s="135" t="b">
        <v>1</v>
      </c>
      <c r="F294" s="106">
        <v>46051</v>
      </c>
      <c r="G294" s="16" t="s">
        <v>85</v>
      </c>
    </row>
    <row r="295" spans="2:7">
      <c r="B295" s="253"/>
      <c r="C295" s="261" t="s">
        <v>1043</v>
      </c>
      <c r="D295" s="83">
        <v>123</v>
      </c>
      <c r="E295" s="135" t="b">
        <v>0</v>
      </c>
      <c r="F295" s="106"/>
      <c r="G295" s="16"/>
    </row>
    <row r="296" spans="2:7">
      <c r="B296" s="253"/>
      <c r="C296" s="262"/>
      <c r="D296" s="84">
        <v>124</v>
      </c>
      <c r="E296" s="135" t="b">
        <v>1</v>
      </c>
      <c r="F296" s="106">
        <v>46051</v>
      </c>
      <c r="G296" s="16" t="s">
        <v>56</v>
      </c>
    </row>
    <row r="297" spans="2:7">
      <c r="B297" s="253"/>
      <c r="C297" s="262"/>
      <c r="D297" s="84">
        <v>125</v>
      </c>
      <c r="E297" s="135" t="b">
        <v>1</v>
      </c>
      <c r="F297" s="106">
        <v>46051</v>
      </c>
      <c r="G297" s="16" t="s">
        <v>69</v>
      </c>
    </row>
    <row r="298" spans="2:7">
      <c r="B298" s="253"/>
      <c r="C298" s="262"/>
      <c r="D298" s="84">
        <v>126</v>
      </c>
      <c r="E298" s="135" t="b">
        <v>1</v>
      </c>
      <c r="F298" s="106">
        <v>46052</v>
      </c>
      <c r="G298" s="16" t="s">
        <v>66</v>
      </c>
    </row>
    <row r="299" spans="2:7">
      <c r="B299" s="253"/>
      <c r="C299" s="262"/>
      <c r="D299" s="84">
        <v>127</v>
      </c>
      <c r="E299" s="135" t="b">
        <v>1</v>
      </c>
      <c r="F299" s="106">
        <v>46051</v>
      </c>
      <c r="G299" s="16" t="s">
        <v>53</v>
      </c>
    </row>
    <row r="300" spans="2:7">
      <c r="B300" s="253"/>
      <c r="C300" s="263"/>
      <c r="D300" s="86">
        <v>128</v>
      </c>
      <c r="E300" s="135" t="b">
        <v>1</v>
      </c>
      <c r="F300" s="106">
        <v>46051</v>
      </c>
      <c r="G300" s="16" t="s">
        <v>267</v>
      </c>
    </row>
    <row r="301" spans="2:7">
      <c r="B301" s="253"/>
      <c r="C301" s="264" t="s">
        <v>1044</v>
      </c>
      <c r="D301" s="87">
        <v>213</v>
      </c>
      <c r="E301" s="135" t="b">
        <v>0</v>
      </c>
      <c r="F301" s="106"/>
      <c r="G301" s="16"/>
    </row>
    <row r="302" spans="2:7">
      <c r="B302" s="253"/>
      <c r="C302" s="265"/>
      <c r="D302" s="84">
        <v>214</v>
      </c>
      <c r="E302" s="135" t="b">
        <v>1</v>
      </c>
      <c r="F302" s="106">
        <v>46191</v>
      </c>
      <c r="G302" s="16" t="s">
        <v>81</v>
      </c>
    </row>
    <row r="303" spans="2:7">
      <c r="B303" s="253"/>
      <c r="C303" s="265"/>
      <c r="D303" s="84">
        <v>215</v>
      </c>
      <c r="E303" s="135" t="b">
        <v>1</v>
      </c>
      <c r="F303" s="106"/>
      <c r="G303" s="16"/>
    </row>
    <row r="304" spans="2:7">
      <c r="B304" s="253"/>
      <c r="C304" s="265"/>
      <c r="D304" s="84">
        <v>216</v>
      </c>
      <c r="E304" s="135" t="b">
        <v>1</v>
      </c>
      <c r="F304" s="106">
        <v>46191</v>
      </c>
      <c r="G304" s="16" t="s">
        <v>75</v>
      </c>
    </row>
    <row r="305" spans="2:7">
      <c r="B305" s="253"/>
      <c r="C305" s="265"/>
      <c r="D305" s="84">
        <v>217</v>
      </c>
      <c r="E305" s="135" t="b">
        <v>1</v>
      </c>
      <c r="F305" s="106">
        <v>46191</v>
      </c>
      <c r="G305" s="16" t="s">
        <v>78</v>
      </c>
    </row>
    <row r="306" spans="2:7">
      <c r="B306" s="253"/>
      <c r="C306" s="265"/>
      <c r="D306" s="84">
        <v>218</v>
      </c>
      <c r="E306" s="135" t="b">
        <v>1</v>
      </c>
      <c r="F306" s="106">
        <v>46191</v>
      </c>
      <c r="G306" s="16" t="s">
        <v>85</v>
      </c>
    </row>
    <row r="307" spans="2:7">
      <c r="B307" s="253"/>
      <c r="C307" s="266"/>
      <c r="D307" s="85">
        <v>219</v>
      </c>
      <c r="E307" s="135" t="b">
        <v>0</v>
      </c>
      <c r="F307" s="106"/>
      <c r="G307" s="16"/>
    </row>
    <row r="308" spans="2:7">
      <c r="B308" s="253"/>
      <c r="C308" s="261" t="s">
        <v>1046</v>
      </c>
      <c r="D308" s="83">
        <v>15</v>
      </c>
      <c r="E308" s="135" t="b">
        <v>1</v>
      </c>
      <c r="F308" s="106">
        <v>46040</v>
      </c>
      <c r="G308" s="16" t="s">
        <v>85</v>
      </c>
    </row>
    <row r="309" spans="2:7">
      <c r="B309" s="253"/>
      <c r="C309" s="262"/>
      <c r="D309" s="84">
        <v>16</v>
      </c>
      <c r="E309" s="135" t="b">
        <v>1</v>
      </c>
      <c r="F309" s="106">
        <v>46040</v>
      </c>
      <c r="G309" s="16" t="s">
        <v>85</v>
      </c>
    </row>
    <row r="310" spans="2:7">
      <c r="B310" s="253"/>
      <c r="C310" s="262"/>
      <c r="D310" s="84">
        <v>17</v>
      </c>
      <c r="E310" s="135" t="b">
        <v>1</v>
      </c>
      <c r="F310" s="106">
        <v>46040</v>
      </c>
      <c r="G310" s="16" t="s">
        <v>69</v>
      </c>
    </row>
    <row r="311" spans="2:7">
      <c r="B311" s="253"/>
      <c r="C311" s="262"/>
      <c r="D311" s="84">
        <v>18</v>
      </c>
      <c r="E311" s="135" t="b">
        <v>1</v>
      </c>
      <c r="F311" s="106">
        <v>46040</v>
      </c>
      <c r="G311" s="16" t="s">
        <v>69</v>
      </c>
    </row>
    <row r="312" spans="2:7">
      <c r="B312" s="253"/>
      <c r="C312" s="262"/>
      <c r="D312" s="84">
        <v>19</v>
      </c>
      <c r="E312" s="135" t="b">
        <v>1</v>
      </c>
      <c r="F312" s="106">
        <v>46040</v>
      </c>
      <c r="G312" s="16" t="s">
        <v>53</v>
      </c>
    </row>
    <row r="313" spans="2:7">
      <c r="B313" s="253"/>
      <c r="C313" s="262"/>
      <c r="D313" s="84">
        <v>20</v>
      </c>
      <c r="E313" s="135" t="b">
        <v>1</v>
      </c>
      <c r="F313" s="106">
        <v>46040</v>
      </c>
      <c r="G313" s="16" t="s">
        <v>53</v>
      </c>
    </row>
    <row r="314" spans="2:7">
      <c r="B314" s="253"/>
      <c r="C314" s="262"/>
      <c r="D314" s="84">
        <v>21</v>
      </c>
      <c r="E314" s="135" t="b">
        <v>1</v>
      </c>
      <c r="F314" s="106">
        <v>46040</v>
      </c>
      <c r="G314" s="16" t="s">
        <v>267</v>
      </c>
    </row>
    <row r="315" spans="2:7">
      <c r="B315" s="253"/>
      <c r="C315" s="263"/>
      <c r="D315" s="86">
        <v>22</v>
      </c>
      <c r="E315" s="135" t="b">
        <v>1</v>
      </c>
      <c r="F315" s="106">
        <v>46040</v>
      </c>
      <c r="G315" s="16" t="s">
        <v>267</v>
      </c>
    </row>
    <row r="316" spans="2:7">
      <c r="B316" s="253"/>
      <c r="C316" s="264" t="s">
        <v>1047</v>
      </c>
      <c r="D316" s="87">
        <v>115</v>
      </c>
      <c r="E316" s="135" t="b">
        <v>1</v>
      </c>
      <c r="F316" s="106">
        <v>46040</v>
      </c>
      <c r="G316" s="16" t="s">
        <v>63</v>
      </c>
    </row>
    <row r="317" spans="2:7">
      <c r="B317" s="253"/>
      <c r="C317" s="265"/>
      <c r="D317" s="84">
        <v>116</v>
      </c>
      <c r="E317" s="135" t="b">
        <v>1</v>
      </c>
      <c r="F317" s="106">
        <v>46040</v>
      </c>
      <c r="G317" s="16" t="s">
        <v>63</v>
      </c>
    </row>
    <row r="318" spans="2:7">
      <c r="B318" s="253"/>
      <c r="C318" s="265"/>
      <c r="D318" s="84">
        <v>117</v>
      </c>
      <c r="E318" s="135" t="b">
        <v>1</v>
      </c>
      <c r="F318" s="106">
        <v>46040</v>
      </c>
      <c r="G318" s="16" t="s">
        <v>66</v>
      </c>
    </row>
    <row r="319" spans="2:7">
      <c r="B319" s="253"/>
      <c r="C319" s="265"/>
      <c r="D319" s="84">
        <v>118</v>
      </c>
      <c r="E319" s="135" t="b">
        <v>1</v>
      </c>
      <c r="F319" s="106">
        <v>46040</v>
      </c>
      <c r="G319" s="16" t="s">
        <v>66</v>
      </c>
    </row>
    <row r="320" spans="2:7">
      <c r="B320" s="253"/>
      <c r="C320" s="265"/>
      <c r="D320" s="84">
        <v>119</v>
      </c>
      <c r="E320" s="135" t="b">
        <v>1</v>
      </c>
      <c r="F320" s="106">
        <v>46040</v>
      </c>
      <c r="G320" s="16" t="s">
        <v>56</v>
      </c>
    </row>
    <row r="321" spans="2:7">
      <c r="B321" s="253"/>
      <c r="C321" s="265"/>
      <c r="D321" s="84">
        <v>120</v>
      </c>
      <c r="E321" s="135" t="b">
        <v>1</v>
      </c>
      <c r="F321" s="106">
        <v>46040</v>
      </c>
      <c r="G321" s="16" t="s">
        <v>56</v>
      </c>
    </row>
    <row r="322" spans="2:7">
      <c r="B322" s="253"/>
      <c r="C322" s="265"/>
      <c r="D322" s="84">
        <v>121</v>
      </c>
      <c r="E322" s="135" t="b">
        <v>1</v>
      </c>
      <c r="F322" s="106">
        <v>46040</v>
      </c>
      <c r="G322" s="16" t="s">
        <v>275</v>
      </c>
    </row>
    <row r="323" spans="2:7">
      <c r="B323" s="253"/>
      <c r="C323" s="266"/>
      <c r="D323" s="85">
        <v>122</v>
      </c>
      <c r="E323" s="135" t="b">
        <v>1</v>
      </c>
      <c r="F323" s="106">
        <v>46040</v>
      </c>
      <c r="G323" s="16" t="s">
        <v>275</v>
      </c>
    </row>
    <row r="324" spans="2:7">
      <c r="B324" s="253"/>
      <c r="C324" s="261" t="s">
        <v>1048</v>
      </c>
      <c r="D324" s="83">
        <v>207</v>
      </c>
      <c r="E324" s="135" t="b">
        <v>1</v>
      </c>
      <c r="F324" s="106">
        <v>46191</v>
      </c>
      <c r="G324" s="16" t="s">
        <v>72</v>
      </c>
    </row>
    <row r="325" spans="2:7">
      <c r="B325" s="253"/>
      <c r="C325" s="262"/>
      <c r="D325" s="84">
        <v>208</v>
      </c>
      <c r="E325" s="135" t="b">
        <v>1</v>
      </c>
      <c r="F325" s="106">
        <v>46191</v>
      </c>
      <c r="G325" s="16" t="s">
        <v>78</v>
      </c>
    </row>
    <row r="326" spans="2:7">
      <c r="B326" s="253"/>
      <c r="C326" s="262"/>
      <c r="D326" s="84">
        <v>209</v>
      </c>
      <c r="E326" s="135" t="b">
        <v>1</v>
      </c>
      <c r="F326" s="106">
        <v>46191</v>
      </c>
      <c r="G326" s="16" t="s">
        <v>85</v>
      </c>
    </row>
    <row r="327" spans="2:7">
      <c r="B327" s="253"/>
      <c r="C327" s="262"/>
      <c r="D327" s="84">
        <v>210</v>
      </c>
      <c r="E327" s="135" t="b">
        <v>0</v>
      </c>
      <c r="F327" s="106"/>
      <c r="G327" s="16"/>
    </row>
    <row r="328" spans="2:7">
      <c r="B328" s="253"/>
      <c r="C328" s="262"/>
      <c r="D328" s="84">
        <v>211</v>
      </c>
      <c r="E328" s="135" t="b">
        <v>1</v>
      </c>
      <c r="F328" s="106">
        <v>46191</v>
      </c>
      <c r="G328" s="16" t="s">
        <v>56</v>
      </c>
    </row>
    <row r="329" spans="2:7">
      <c r="B329" s="253"/>
      <c r="C329" s="263"/>
      <c r="D329" s="86">
        <v>212</v>
      </c>
      <c r="E329" s="135" t="b">
        <v>1</v>
      </c>
      <c r="F329" s="106">
        <v>46191</v>
      </c>
      <c r="G329" s="16" t="s">
        <v>62</v>
      </c>
    </row>
    <row r="330" spans="2:7">
      <c r="B330" s="253"/>
      <c r="C330" s="264" t="s">
        <v>1050</v>
      </c>
      <c r="D330" s="87">
        <v>7</v>
      </c>
      <c r="E330" s="135" t="b">
        <v>1</v>
      </c>
      <c r="F330" s="106">
        <v>46035</v>
      </c>
      <c r="G330" s="16" t="s">
        <v>63</v>
      </c>
    </row>
    <row r="331" spans="2:7">
      <c r="B331" s="253"/>
      <c r="C331" s="265"/>
      <c r="D331" s="84">
        <v>8</v>
      </c>
      <c r="E331" s="135" t="b">
        <v>1</v>
      </c>
      <c r="F331" s="106">
        <v>46035</v>
      </c>
      <c r="G331" s="16" t="s">
        <v>63</v>
      </c>
    </row>
    <row r="332" spans="2:7">
      <c r="B332" s="253"/>
      <c r="C332" s="265"/>
      <c r="D332" s="84">
        <v>9</v>
      </c>
      <c r="E332" s="135" t="b">
        <v>1</v>
      </c>
      <c r="F332" s="106">
        <v>46036</v>
      </c>
      <c r="G332" s="16" t="s">
        <v>85</v>
      </c>
    </row>
    <row r="333" spans="2:7">
      <c r="B333" s="253"/>
      <c r="C333" s="265"/>
      <c r="D333" s="84">
        <v>10</v>
      </c>
      <c r="E333" s="135" t="b">
        <v>1</v>
      </c>
      <c r="F333" s="106">
        <v>46035</v>
      </c>
      <c r="G333" s="16" t="s">
        <v>72</v>
      </c>
    </row>
    <row r="334" spans="2:7">
      <c r="B334" s="253"/>
      <c r="C334" s="265"/>
      <c r="D334" s="84">
        <v>11</v>
      </c>
      <c r="E334" s="135" t="b">
        <v>1</v>
      </c>
      <c r="F334" s="106">
        <v>46035</v>
      </c>
      <c r="G334" s="16" t="s">
        <v>63</v>
      </c>
    </row>
    <row r="335" spans="2:7">
      <c r="B335" s="253"/>
      <c r="C335" s="265"/>
      <c r="D335" s="84">
        <v>12</v>
      </c>
      <c r="E335" s="135" t="b">
        <v>1</v>
      </c>
      <c r="F335" s="106">
        <v>46036</v>
      </c>
      <c r="G335" s="16" t="s">
        <v>85</v>
      </c>
    </row>
    <row r="336" spans="2:7">
      <c r="B336" s="253"/>
      <c r="C336" s="265"/>
      <c r="D336" s="84">
        <v>13</v>
      </c>
      <c r="E336" s="135" t="b">
        <v>1</v>
      </c>
      <c r="F336" s="106">
        <v>46036</v>
      </c>
      <c r="G336" s="16" t="s">
        <v>85</v>
      </c>
    </row>
    <row r="337" spans="2:7">
      <c r="B337" s="253"/>
      <c r="C337" s="266"/>
      <c r="D337" s="85">
        <v>14</v>
      </c>
      <c r="E337" s="135" t="b">
        <v>1</v>
      </c>
      <c r="F337" s="106">
        <v>46035</v>
      </c>
      <c r="G337" s="16" t="s">
        <v>72</v>
      </c>
    </row>
    <row r="338" spans="2:7">
      <c r="B338" s="253"/>
      <c r="C338" s="261" t="s">
        <v>1051</v>
      </c>
      <c r="D338" s="83">
        <v>107</v>
      </c>
      <c r="E338" s="135" t="b">
        <v>1</v>
      </c>
      <c r="F338" s="106">
        <v>46035</v>
      </c>
      <c r="G338" s="16" t="s">
        <v>72</v>
      </c>
    </row>
    <row r="339" spans="2:7">
      <c r="B339" s="253"/>
      <c r="C339" s="262"/>
      <c r="D339" s="84">
        <v>108</v>
      </c>
      <c r="E339" s="135" t="b">
        <v>1</v>
      </c>
      <c r="F339" s="106">
        <v>46035</v>
      </c>
      <c r="G339" s="16" t="s">
        <v>72</v>
      </c>
    </row>
    <row r="340" spans="2:7">
      <c r="B340" s="253"/>
      <c r="C340" s="262"/>
      <c r="D340" s="84">
        <v>109</v>
      </c>
      <c r="E340" s="135" t="b">
        <v>1</v>
      </c>
      <c r="F340" s="106">
        <v>46035</v>
      </c>
      <c r="G340" s="16" t="s">
        <v>72</v>
      </c>
    </row>
    <row r="341" spans="2:7">
      <c r="B341" s="253"/>
      <c r="C341" s="262"/>
      <c r="D341" s="84">
        <v>110</v>
      </c>
      <c r="E341" s="135" t="b">
        <v>1</v>
      </c>
      <c r="F341" s="106">
        <v>46035</v>
      </c>
      <c r="G341" s="16" t="s">
        <v>85</v>
      </c>
    </row>
    <row r="342" spans="2:7">
      <c r="B342" s="253"/>
      <c r="C342" s="262"/>
      <c r="D342" s="84">
        <v>111</v>
      </c>
      <c r="E342" s="135" t="b">
        <v>1</v>
      </c>
      <c r="F342" s="106">
        <v>46035</v>
      </c>
      <c r="G342" s="16" t="s">
        <v>85</v>
      </c>
    </row>
    <row r="343" spans="2:7">
      <c r="B343" s="253"/>
      <c r="C343" s="262"/>
      <c r="D343" s="84">
        <v>112</v>
      </c>
      <c r="E343" s="135" t="b">
        <v>1</v>
      </c>
      <c r="F343" s="106">
        <v>46035</v>
      </c>
      <c r="G343" s="16" t="s">
        <v>85</v>
      </c>
    </row>
    <row r="344" spans="2:7">
      <c r="B344" s="253"/>
      <c r="C344" s="262"/>
      <c r="D344" s="84">
        <v>113</v>
      </c>
      <c r="E344" s="135" t="b">
        <v>1</v>
      </c>
      <c r="F344" s="106">
        <v>46035</v>
      </c>
      <c r="G344" s="16" t="s">
        <v>85</v>
      </c>
    </row>
    <row r="345" spans="2:7">
      <c r="B345" s="253"/>
      <c r="C345" s="263"/>
      <c r="D345" s="86">
        <v>114</v>
      </c>
      <c r="E345" s="135" t="b">
        <v>1</v>
      </c>
      <c r="F345" s="106">
        <v>46035</v>
      </c>
      <c r="G345" s="16" t="s">
        <v>85</v>
      </c>
    </row>
    <row r="346" spans="2:7">
      <c r="B346" s="253"/>
      <c r="C346" s="264" t="s">
        <v>1052</v>
      </c>
      <c r="D346" s="87">
        <v>201</v>
      </c>
      <c r="E346" s="135" t="b">
        <v>0</v>
      </c>
      <c r="F346" s="106"/>
      <c r="G346" s="16"/>
    </row>
    <row r="347" spans="2:7">
      <c r="B347" s="253"/>
      <c r="C347" s="265"/>
      <c r="D347" s="84">
        <v>202</v>
      </c>
      <c r="E347" s="135" t="b">
        <v>1</v>
      </c>
      <c r="F347" s="106">
        <v>46191</v>
      </c>
      <c r="G347" s="16" t="s">
        <v>56</v>
      </c>
    </row>
    <row r="348" spans="2:7">
      <c r="B348" s="253"/>
      <c r="C348" s="265"/>
      <c r="D348" s="84">
        <v>203</v>
      </c>
      <c r="E348" s="135" t="b">
        <v>1</v>
      </c>
      <c r="F348" s="106">
        <v>46191</v>
      </c>
      <c r="G348" s="16" t="s">
        <v>85</v>
      </c>
    </row>
    <row r="349" spans="2:7">
      <c r="B349" s="253"/>
      <c r="C349" s="265"/>
      <c r="D349" s="84">
        <v>204</v>
      </c>
      <c r="E349" s="135" t="b">
        <v>1</v>
      </c>
      <c r="F349" s="106">
        <v>46191</v>
      </c>
      <c r="G349" s="16" t="s">
        <v>62</v>
      </c>
    </row>
    <row r="350" spans="2:7">
      <c r="B350" s="253"/>
      <c r="C350" s="265"/>
      <c r="D350" s="84">
        <v>205</v>
      </c>
      <c r="E350" s="135" t="b">
        <v>1</v>
      </c>
      <c r="F350" s="106">
        <v>46191</v>
      </c>
      <c r="G350" s="16" t="s">
        <v>56</v>
      </c>
    </row>
    <row r="351" spans="2:7">
      <c r="B351" s="253"/>
      <c r="C351" s="266"/>
      <c r="D351" s="85">
        <v>206</v>
      </c>
      <c r="E351" s="135" t="b">
        <v>0</v>
      </c>
      <c r="F351" s="132">
        <v>46191</v>
      </c>
      <c r="G351" s="52" t="s">
        <v>81</v>
      </c>
    </row>
    <row r="352" spans="2:7">
      <c r="B352" s="253"/>
      <c r="C352" s="261" t="s">
        <v>1054</v>
      </c>
      <c r="D352" s="83">
        <v>1</v>
      </c>
      <c r="E352" s="135" t="b">
        <v>1</v>
      </c>
      <c r="F352" s="131">
        <v>46030</v>
      </c>
      <c r="G352" s="50" t="s">
        <v>66</v>
      </c>
    </row>
    <row r="353" spans="2:7">
      <c r="B353" s="253"/>
      <c r="C353" s="262"/>
      <c r="D353" s="84">
        <v>2</v>
      </c>
      <c r="E353" s="135" t="b">
        <v>1</v>
      </c>
      <c r="F353" s="106">
        <v>46030</v>
      </c>
      <c r="G353" s="16" t="s">
        <v>66</v>
      </c>
    </row>
    <row r="354" spans="2:7">
      <c r="B354" s="253"/>
      <c r="C354" s="262"/>
      <c r="D354" s="84">
        <v>3</v>
      </c>
      <c r="E354" s="135" t="b">
        <v>1</v>
      </c>
      <c r="F354" s="106">
        <v>46030</v>
      </c>
      <c r="G354" s="16" t="s">
        <v>69</v>
      </c>
    </row>
    <row r="355" spans="2:7">
      <c r="B355" s="253"/>
      <c r="C355" s="262"/>
      <c r="D355" s="84">
        <v>4</v>
      </c>
      <c r="E355" s="135" t="b">
        <v>1</v>
      </c>
      <c r="F355" s="106">
        <v>46030</v>
      </c>
      <c r="G355" s="16" t="s">
        <v>69</v>
      </c>
    </row>
    <row r="356" spans="2:7">
      <c r="B356" s="253"/>
      <c r="C356" s="262"/>
      <c r="D356" s="84">
        <v>5</v>
      </c>
      <c r="E356" s="135" t="b">
        <v>1</v>
      </c>
      <c r="F356" s="106">
        <v>46030</v>
      </c>
      <c r="G356" s="16" t="s">
        <v>69</v>
      </c>
    </row>
    <row r="357" spans="2:7">
      <c r="B357" s="253"/>
      <c r="C357" s="263"/>
      <c r="D357" s="86">
        <v>6</v>
      </c>
      <c r="E357" s="135" t="b">
        <v>1</v>
      </c>
      <c r="F357" s="133">
        <v>46030</v>
      </c>
      <c r="G357" s="20" t="s">
        <v>66</v>
      </c>
    </row>
    <row r="358" spans="2:7">
      <c r="B358" s="253"/>
      <c r="C358" s="264" t="s">
        <v>1055</v>
      </c>
      <c r="D358" s="87">
        <v>101</v>
      </c>
      <c r="E358" s="135" t="b">
        <v>1</v>
      </c>
      <c r="F358" s="134">
        <v>46030</v>
      </c>
      <c r="G358" s="51" t="s">
        <v>66</v>
      </c>
    </row>
    <row r="359" spans="2:7">
      <c r="B359" s="253"/>
      <c r="C359" s="265"/>
      <c r="D359" s="84">
        <v>102</v>
      </c>
      <c r="E359" s="135" t="b">
        <v>1</v>
      </c>
      <c r="F359" s="106">
        <v>46030</v>
      </c>
      <c r="G359" s="16" t="s">
        <v>51</v>
      </c>
    </row>
    <row r="360" spans="2:7">
      <c r="B360" s="253"/>
      <c r="C360" s="265"/>
      <c r="D360" s="84">
        <v>103</v>
      </c>
      <c r="E360" s="135" t="b">
        <v>1</v>
      </c>
      <c r="F360" s="106">
        <v>46030</v>
      </c>
      <c r="G360" s="16" t="s">
        <v>63</v>
      </c>
    </row>
    <row r="361" spans="2:7">
      <c r="B361" s="253"/>
      <c r="C361" s="265"/>
      <c r="D361" s="84">
        <v>104</v>
      </c>
      <c r="E361" s="135" t="b">
        <v>1</v>
      </c>
      <c r="F361" s="106">
        <v>46030</v>
      </c>
      <c r="G361" s="16" t="s">
        <v>63</v>
      </c>
    </row>
    <row r="362" spans="2:7">
      <c r="B362" s="253"/>
      <c r="C362" s="265"/>
      <c r="D362" s="84">
        <v>105</v>
      </c>
      <c r="E362" s="135" t="b">
        <v>1</v>
      </c>
      <c r="F362" s="106">
        <v>46030</v>
      </c>
      <c r="G362" s="16" t="s">
        <v>85</v>
      </c>
    </row>
    <row r="363" spans="2:7">
      <c r="B363" s="254"/>
      <c r="C363" s="267"/>
      <c r="D363" s="85">
        <v>106</v>
      </c>
      <c r="E363" s="143" t="b">
        <v>1</v>
      </c>
      <c r="F363" s="132">
        <v>46030</v>
      </c>
      <c r="G363" s="52" t="s">
        <v>85</v>
      </c>
    </row>
    <row r="364" spans="2:7" ht="15" customHeight="1">
      <c r="B364" s="258" t="s">
        <v>1056</v>
      </c>
      <c r="C364" s="250" t="s">
        <v>1057</v>
      </c>
      <c r="D364" s="139">
        <v>701</v>
      </c>
      <c r="E364" s="141" t="b">
        <v>0</v>
      </c>
      <c r="F364" s="142"/>
      <c r="G364" s="12"/>
    </row>
    <row r="365" spans="2:7" ht="15" customHeight="1">
      <c r="B365" s="259"/>
      <c r="C365" s="255"/>
      <c r="D365" s="139">
        <v>702</v>
      </c>
      <c r="E365" s="141" t="b">
        <v>0</v>
      </c>
      <c r="F365" s="142"/>
      <c r="G365" s="12"/>
    </row>
    <row r="366" spans="2:7" ht="15" customHeight="1">
      <c r="B366" s="259"/>
      <c r="C366" s="255"/>
      <c r="D366" s="139">
        <v>703</v>
      </c>
      <c r="E366" s="141" t="b">
        <v>0</v>
      </c>
      <c r="F366" s="142"/>
      <c r="G366" s="12"/>
    </row>
    <row r="367" spans="2:7" ht="15" customHeight="1">
      <c r="B367" s="259"/>
      <c r="C367" s="247"/>
      <c r="D367" s="139">
        <v>704</v>
      </c>
      <c r="E367" s="141" t="b">
        <v>0</v>
      </c>
      <c r="F367" s="142"/>
      <c r="G367" s="12"/>
    </row>
    <row r="368" spans="2:7" ht="15" customHeight="1">
      <c r="B368" s="259"/>
      <c r="C368" s="248" t="s">
        <v>1058</v>
      </c>
      <c r="D368" s="139">
        <v>705</v>
      </c>
      <c r="E368" s="141" t="b">
        <v>0</v>
      </c>
      <c r="F368" s="142"/>
      <c r="G368" s="12"/>
    </row>
    <row r="369" spans="2:7" ht="15" customHeight="1">
      <c r="B369" s="259"/>
      <c r="C369" s="256"/>
      <c r="D369" s="139">
        <v>706</v>
      </c>
      <c r="E369" s="141" t="b">
        <v>0</v>
      </c>
      <c r="F369" s="142"/>
      <c r="G369" s="12"/>
    </row>
    <row r="370" spans="2:7" ht="15" customHeight="1">
      <c r="B370" s="259"/>
      <c r="C370" s="256"/>
      <c r="D370" s="139">
        <v>707</v>
      </c>
      <c r="E370" s="141" t="b">
        <v>0</v>
      </c>
      <c r="F370" s="142"/>
      <c r="G370" s="12"/>
    </row>
    <row r="371" spans="2:7" ht="15" customHeight="1">
      <c r="B371" s="259"/>
      <c r="C371" s="256"/>
      <c r="D371" s="139">
        <v>708</v>
      </c>
      <c r="E371" s="141" t="b">
        <v>0</v>
      </c>
      <c r="F371" s="142"/>
      <c r="G371" s="12"/>
    </row>
    <row r="372" spans="2:7" ht="15" customHeight="1">
      <c r="B372" s="259"/>
      <c r="C372" s="256"/>
      <c r="D372" s="139">
        <v>709</v>
      </c>
      <c r="E372" s="141" t="b">
        <v>0</v>
      </c>
      <c r="F372" s="142"/>
      <c r="G372" s="12"/>
    </row>
    <row r="373" spans="2:7" ht="15" customHeight="1">
      <c r="B373" s="259"/>
      <c r="C373" s="249"/>
      <c r="D373" s="139">
        <v>710</v>
      </c>
      <c r="E373" s="141" t="b">
        <v>0</v>
      </c>
      <c r="F373" s="142"/>
      <c r="G373" s="12"/>
    </row>
    <row r="374" spans="2:7" ht="15" customHeight="1">
      <c r="B374" s="259"/>
      <c r="C374" s="250" t="s">
        <v>1059</v>
      </c>
      <c r="D374" s="139">
        <v>711</v>
      </c>
      <c r="E374" s="141" t="b">
        <v>0</v>
      </c>
      <c r="F374" s="142"/>
      <c r="G374" s="12"/>
    </row>
    <row r="375" spans="2:7" ht="15" customHeight="1">
      <c r="B375" s="259"/>
      <c r="C375" s="247"/>
      <c r="D375" s="139">
        <v>712</v>
      </c>
      <c r="E375" s="141" t="b">
        <v>0</v>
      </c>
      <c r="F375" s="142"/>
      <c r="G375" s="12"/>
    </row>
    <row r="376" spans="2:7" ht="15" customHeight="1">
      <c r="B376" s="259"/>
      <c r="C376" s="248" t="s">
        <v>1060</v>
      </c>
      <c r="D376" s="139">
        <v>713</v>
      </c>
      <c r="E376" s="141" t="b">
        <v>0</v>
      </c>
      <c r="F376" s="142"/>
      <c r="G376" s="12"/>
    </row>
    <row r="377" spans="2:7" ht="15" customHeight="1">
      <c r="B377" s="259"/>
      <c r="C377" s="256"/>
      <c r="D377" s="139">
        <v>714</v>
      </c>
      <c r="E377" s="141" t="b">
        <v>0</v>
      </c>
      <c r="F377" s="142"/>
      <c r="G377" s="12"/>
    </row>
    <row r="378" spans="2:7" ht="15" customHeight="1">
      <c r="B378" s="259"/>
      <c r="C378" s="256"/>
      <c r="D378" s="139">
        <v>715</v>
      </c>
      <c r="E378" s="141" t="b">
        <v>0</v>
      </c>
      <c r="F378" s="142"/>
      <c r="G378" s="12"/>
    </row>
    <row r="379" spans="2:7" ht="15" customHeight="1">
      <c r="B379" s="259"/>
      <c r="C379" s="256"/>
      <c r="D379" s="139">
        <v>716</v>
      </c>
      <c r="E379" s="141" t="b">
        <v>0</v>
      </c>
      <c r="F379" s="142"/>
      <c r="G379" s="12"/>
    </row>
    <row r="380" spans="2:7" ht="15" customHeight="1">
      <c r="B380" s="259"/>
      <c r="C380" s="249"/>
      <c r="D380" s="139">
        <v>717</v>
      </c>
      <c r="E380" s="141" t="b">
        <v>0</v>
      </c>
      <c r="F380" s="142"/>
      <c r="G380" s="12"/>
    </row>
    <row r="381" spans="2:7" ht="15" customHeight="1">
      <c r="B381" s="259"/>
      <c r="C381" s="250" t="s">
        <v>1061</v>
      </c>
      <c r="D381" s="139">
        <v>718</v>
      </c>
      <c r="E381" s="141" t="b">
        <v>0</v>
      </c>
      <c r="F381" s="142"/>
      <c r="G381" s="12"/>
    </row>
    <row r="382" spans="2:7" ht="15" customHeight="1">
      <c r="B382" s="259"/>
      <c r="C382" s="255"/>
      <c r="D382" s="139">
        <v>719</v>
      </c>
      <c r="E382" s="141" t="b">
        <v>0</v>
      </c>
      <c r="F382" s="142"/>
      <c r="G382" s="12"/>
    </row>
    <row r="383" spans="2:7" ht="15" customHeight="1">
      <c r="B383" s="259"/>
      <c r="C383" s="255"/>
      <c r="D383" s="139">
        <v>720</v>
      </c>
      <c r="E383" s="141" t="b">
        <v>0</v>
      </c>
      <c r="F383" s="142"/>
      <c r="G383" s="12"/>
    </row>
    <row r="384" spans="2:7" ht="15" customHeight="1">
      <c r="B384" s="259"/>
      <c r="C384" s="255"/>
      <c r="D384" s="139">
        <v>721</v>
      </c>
      <c r="E384" s="141" t="b">
        <v>0</v>
      </c>
      <c r="F384" s="142"/>
      <c r="G384" s="12"/>
    </row>
    <row r="385" spans="2:7" ht="15" customHeight="1">
      <c r="B385" s="259"/>
      <c r="C385" s="255"/>
      <c r="D385" s="139">
        <v>722</v>
      </c>
      <c r="E385" s="141" t="b">
        <v>0</v>
      </c>
      <c r="F385" s="142"/>
      <c r="G385" s="12"/>
    </row>
    <row r="386" spans="2:7" ht="15" customHeight="1">
      <c r="B386" s="259"/>
      <c r="C386" s="255"/>
      <c r="D386" s="139">
        <v>723</v>
      </c>
      <c r="E386" s="141" t="b">
        <v>0</v>
      </c>
      <c r="F386" s="142"/>
      <c r="G386" s="12"/>
    </row>
    <row r="387" spans="2:7" ht="15" customHeight="1">
      <c r="B387" s="259"/>
      <c r="C387" s="255"/>
      <c r="D387" s="139">
        <v>724</v>
      </c>
      <c r="E387" s="141" t="b">
        <v>0</v>
      </c>
      <c r="F387" s="142"/>
      <c r="G387" s="12"/>
    </row>
    <row r="388" spans="2:7" ht="15" customHeight="1">
      <c r="B388" s="259"/>
      <c r="C388" s="247"/>
      <c r="D388" s="139">
        <v>725</v>
      </c>
      <c r="E388" s="141" t="b">
        <v>0</v>
      </c>
      <c r="F388" s="142"/>
      <c r="G388" s="12"/>
    </row>
    <row r="389" spans="2:7" ht="15" customHeight="1">
      <c r="B389" s="259"/>
      <c r="C389" s="248" t="s">
        <v>1062</v>
      </c>
      <c r="D389" s="139">
        <v>726</v>
      </c>
      <c r="E389" s="141" t="b">
        <v>0</v>
      </c>
      <c r="F389" s="142"/>
      <c r="G389" s="12"/>
    </row>
    <row r="390" spans="2:7" ht="15" customHeight="1">
      <c r="B390" s="259"/>
      <c r="C390" s="256"/>
      <c r="D390" s="139">
        <v>727</v>
      </c>
      <c r="E390" s="141" t="b">
        <v>0</v>
      </c>
      <c r="F390" s="142"/>
      <c r="G390" s="12"/>
    </row>
    <row r="391" spans="2:7" ht="15" customHeight="1">
      <c r="B391" s="259"/>
      <c r="C391" s="249"/>
      <c r="D391" s="139">
        <v>728</v>
      </c>
      <c r="E391" s="141" t="b">
        <v>0</v>
      </c>
      <c r="F391" s="142"/>
      <c r="G391" s="12"/>
    </row>
    <row r="392" spans="2:7" ht="15" customHeight="1">
      <c r="B392" s="259"/>
      <c r="C392" s="250" t="s">
        <v>1063</v>
      </c>
      <c r="D392" s="139">
        <v>729</v>
      </c>
      <c r="E392" s="141" t="b">
        <v>0</v>
      </c>
      <c r="F392" s="142"/>
      <c r="G392" s="12"/>
    </row>
    <row r="393" spans="2:7" ht="15" customHeight="1">
      <c r="B393" s="259"/>
      <c r="C393" s="255"/>
      <c r="D393" s="139">
        <v>730</v>
      </c>
      <c r="E393" s="141" t="b">
        <v>0</v>
      </c>
      <c r="F393" s="142"/>
      <c r="G393" s="12"/>
    </row>
    <row r="394" spans="2:7" ht="15" customHeight="1">
      <c r="B394" s="259"/>
      <c r="C394" s="255"/>
      <c r="D394" s="139">
        <v>731</v>
      </c>
      <c r="E394" s="141" t="b">
        <v>0</v>
      </c>
      <c r="F394" s="142"/>
      <c r="G394" s="12"/>
    </row>
    <row r="395" spans="2:7" ht="15" customHeight="1">
      <c r="B395" s="259"/>
      <c r="C395" s="247"/>
      <c r="D395" s="139">
        <v>732</v>
      </c>
      <c r="E395" s="141" t="b">
        <v>0</v>
      </c>
      <c r="F395" s="142"/>
      <c r="G395" s="12"/>
    </row>
    <row r="396" spans="2:7" ht="15" customHeight="1">
      <c r="B396" s="259"/>
      <c r="C396" s="248" t="s">
        <v>1064</v>
      </c>
      <c r="D396" s="139">
        <v>733</v>
      </c>
      <c r="E396" s="141" t="b">
        <v>0</v>
      </c>
      <c r="F396" s="142"/>
      <c r="G396" s="12"/>
    </row>
    <row r="397" spans="2:7" ht="15" customHeight="1">
      <c r="B397" s="259"/>
      <c r="C397" s="256"/>
      <c r="D397" s="139">
        <v>734</v>
      </c>
      <c r="E397" s="141" t="b">
        <v>0</v>
      </c>
      <c r="F397" s="142"/>
      <c r="G397" s="12"/>
    </row>
    <row r="398" spans="2:7" ht="15" customHeight="1">
      <c r="B398" s="259"/>
      <c r="C398" s="256"/>
      <c r="D398" s="139">
        <v>735</v>
      </c>
      <c r="E398" s="141" t="b">
        <v>0</v>
      </c>
      <c r="F398" s="142"/>
      <c r="G398" s="12"/>
    </row>
    <row r="399" spans="2:7" ht="15" customHeight="1">
      <c r="B399" s="259"/>
      <c r="C399" s="256"/>
      <c r="D399" s="139">
        <v>736</v>
      </c>
      <c r="E399" s="141" t="b">
        <v>0</v>
      </c>
      <c r="F399" s="142"/>
      <c r="G399" s="12"/>
    </row>
    <row r="400" spans="2:7" ht="15" customHeight="1">
      <c r="B400" s="259"/>
      <c r="C400" s="249"/>
      <c r="D400" s="139">
        <v>737</v>
      </c>
      <c r="E400" s="141" t="b">
        <v>0</v>
      </c>
      <c r="F400" s="142"/>
      <c r="G400" s="12"/>
    </row>
    <row r="401" spans="2:7" ht="15" customHeight="1">
      <c r="B401" s="259"/>
      <c r="C401" s="250" t="s">
        <v>1065</v>
      </c>
      <c r="D401" s="139">
        <v>801</v>
      </c>
      <c r="E401" s="141" t="b">
        <v>0</v>
      </c>
      <c r="F401" s="142"/>
      <c r="G401" s="12"/>
    </row>
    <row r="402" spans="2:7" ht="15" customHeight="1">
      <c r="B402" s="259"/>
      <c r="C402" s="255"/>
      <c r="D402" s="139">
        <v>802</v>
      </c>
      <c r="E402" s="141" t="b">
        <v>0</v>
      </c>
      <c r="F402" s="142"/>
      <c r="G402" s="12"/>
    </row>
    <row r="403" spans="2:7" ht="15" customHeight="1">
      <c r="B403" s="259"/>
      <c r="C403" s="247"/>
      <c r="D403" s="139">
        <v>803</v>
      </c>
      <c r="E403" s="141" t="b">
        <v>0</v>
      </c>
      <c r="F403" s="142"/>
      <c r="G403" s="12"/>
    </row>
    <row r="404" spans="2:7" ht="15" customHeight="1">
      <c r="B404" s="259"/>
      <c r="C404" s="248" t="s">
        <v>1066</v>
      </c>
      <c r="D404" s="139">
        <v>804</v>
      </c>
      <c r="E404" s="141" t="b">
        <v>0</v>
      </c>
      <c r="F404" s="142"/>
      <c r="G404" s="12"/>
    </row>
    <row r="405" spans="2:7" ht="15" customHeight="1">
      <c r="B405" s="259"/>
      <c r="C405" s="249"/>
      <c r="D405" s="139">
        <v>805</v>
      </c>
      <c r="E405" s="141" t="b">
        <v>0</v>
      </c>
      <c r="F405" s="142"/>
      <c r="G405" s="12"/>
    </row>
    <row r="406" spans="2:7" ht="15" customHeight="1">
      <c r="B406" s="259"/>
      <c r="C406" s="250" t="s">
        <v>1067</v>
      </c>
      <c r="D406" s="139">
        <v>806</v>
      </c>
      <c r="E406" s="141" t="b">
        <v>0</v>
      </c>
      <c r="F406" s="142"/>
      <c r="G406" s="12"/>
    </row>
    <row r="407" spans="2:7" ht="15" customHeight="1">
      <c r="B407" s="259"/>
      <c r="C407" s="247"/>
      <c r="D407" s="139">
        <v>807</v>
      </c>
      <c r="E407" s="141" t="b">
        <v>0</v>
      </c>
      <c r="F407" s="142"/>
      <c r="G407" s="12"/>
    </row>
    <row r="408" spans="2:7" ht="15" customHeight="1">
      <c r="B408" s="259"/>
      <c r="C408" s="248" t="s">
        <v>1068</v>
      </c>
      <c r="D408" s="139">
        <v>808</v>
      </c>
      <c r="E408" s="141" t="b">
        <v>0</v>
      </c>
      <c r="F408" s="142"/>
      <c r="G408" s="12"/>
    </row>
    <row r="409" spans="2:7" ht="15" customHeight="1">
      <c r="B409" s="259"/>
      <c r="C409" s="256"/>
      <c r="D409" s="139">
        <v>809</v>
      </c>
      <c r="E409" s="141" t="b">
        <v>0</v>
      </c>
      <c r="F409" s="142"/>
      <c r="G409" s="12"/>
    </row>
    <row r="410" spans="2:7" ht="15" customHeight="1">
      <c r="B410" s="259"/>
      <c r="C410" s="249"/>
      <c r="D410" s="139">
        <v>810</v>
      </c>
      <c r="E410" s="141" t="b">
        <v>0</v>
      </c>
      <c r="F410" s="142"/>
      <c r="G410" s="12"/>
    </row>
    <row r="411" spans="2:7" ht="15" customHeight="1">
      <c r="B411" s="259"/>
      <c r="C411" s="250" t="s">
        <v>1069</v>
      </c>
      <c r="D411" s="139">
        <v>811</v>
      </c>
      <c r="E411" s="141" t="b">
        <v>0</v>
      </c>
      <c r="F411" s="142"/>
      <c r="G411" s="12"/>
    </row>
    <row r="412" spans="2:7" ht="15" customHeight="1">
      <c r="B412" s="259"/>
      <c r="C412" s="255"/>
      <c r="D412" s="139">
        <v>812</v>
      </c>
      <c r="E412" s="141" t="b">
        <v>0</v>
      </c>
      <c r="F412" s="142"/>
      <c r="G412" s="12"/>
    </row>
    <row r="413" spans="2:7" ht="15" customHeight="1">
      <c r="B413" s="259"/>
      <c r="C413" s="255"/>
      <c r="D413" s="139">
        <v>813</v>
      </c>
      <c r="E413" s="141" t="b">
        <v>0</v>
      </c>
      <c r="F413" s="142"/>
      <c r="G413" s="12"/>
    </row>
    <row r="414" spans="2:7" ht="15" customHeight="1">
      <c r="B414" s="259"/>
      <c r="C414" s="255"/>
      <c r="D414" s="139">
        <v>814</v>
      </c>
      <c r="E414" s="141" t="b">
        <v>0</v>
      </c>
      <c r="F414" s="142"/>
      <c r="G414" s="12"/>
    </row>
    <row r="415" spans="2:7" ht="15" customHeight="1">
      <c r="B415" s="259"/>
      <c r="C415" s="255"/>
      <c r="D415" s="139">
        <v>815</v>
      </c>
      <c r="E415" s="141" t="b">
        <v>0</v>
      </c>
      <c r="F415" s="142"/>
      <c r="G415" s="12"/>
    </row>
    <row r="416" spans="2:7" ht="15" customHeight="1">
      <c r="B416" s="259"/>
      <c r="C416" s="247"/>
      <c r="D416" s="139">
        <v>816</v>
      </c>
      <c r="E416" s="141" t="b">
        <v>0</v>
      </c>
      <c r="F416" s="142"/>
      <c r="G416" s="12"/>
    </row>
    <row r="417" spans="2:7" ht="15" customHeight="1">
      <c r="B417" s="259"/>
      <c r="C417" s="248" t="s">
        <v>1070</v>
      </c>
      <c r="D417" s="139">
        <v>817</v>
      </c>
      <c r="E417" s="141" t="b">
        <v>0</v>
      </c>
      <c r="F417" s="142"/>
      <c r="G417" s="12"/>
    </row>
    <row r="418" spans="2:7" ht="15" customHeight="1">
      <c r="B418" s="259"/>
      <c r="C418" s="249"/>
      <c r="D418" s="139">
        <v>818</v>
      </c>
      <c r="E418" s="141" t="b">
        <v>0</v>
      </c>
      <c r="F418" s="142"/>
      <c r="G418" s="12"/>
    </row>
    <row r="419" spans="2:7" ht="15" customHeight="1">
      <c r="B419" s="259"/>
      <c r="C419" s="250" t="s">
        <v>1071</v>
      </c>
      <c r="D419" s="139">
        <v>819</v>
      </c>
      <c r="E419" s="141" t="b">
        <v>0</v>
      </c>
      <c r="F419" s="142"/>
      <c r="G419" s="12"/>
    </row>
    <row r="420" spans="2:7" ht="15" customHeight="1">
      <c r="B420" s="259"/>
      <c r="C420" s="255"/>
      <c r="D420" s="139">
        <v>820</v>
      </c>
      <c r="E420" s="141" t="b">
        <v>0</v>
      </c>
      <c r="F420" s="142"/>
      <c r="G420" s="12"/>
    </row>
    <row r="421" spans="2:7" ht="15" customHeight="1">
      <c r="B421" s="259"/>
      <c r="C421" s="247"/>
      <c r="D421" s="139">
        <v>821</v>
      </c>
      <c r="E421" s="141" t="b">
        <v>0</v>
      </c>
      <c r="F421" s="142"/>
      <c r="G421" s="12"/>
    </row>
    <row r="422" spans="2:7" ht="15" customHeight="1">
      <c r="B422" s="259"/>
      <c r="C422" s="248" t="s">
        <v>1072</v>
      </c>
      <c r="D422" s="139">
        <v>822</v>
      </c>
      <c r="E422" s="141" t="b">
        <v>0</v>
      </c>
      <c r="F422" s="142"/>
      <c r="G422" s="12"/>
    </row>
    <row r="423" spans="2:7" ht="15" customHeight="1">
      <c r="B423" s="259"/>
      <c r="C423" s="256"/>
      <c r="D423" s="139">
        <v>823</v>
      </c>
      <c r="E423" s="141" t="b">
        <v>0</v>
      </c>
      <c r="F423" s="142"/>
      <c r="G423" s="12"/>
    </row>
    <row r="424" spans="2:7" ht="15" customHeight="1">
      <c r="B424" s="259"/>
      <c r="C424" s="256"/>
      <c r="D424" s="139">
        <v>824</v>
      </c>
      <c r="E424" s="141" t="b">
        <v>0</v>
      </c>
      <c r="F424" s="142"/>
      <c r="G424" s="12"/>
    </row>
    <row r="425" spans="2:7" ht="15" customHeight="1">
      <c r="B425" s="260"/>
      <c r="C425" s="257"/>
      <c r="D425" s="139">
        <v>825</v>
      </c>
      <c r="E425" s="141" t="b">
        <v>0</v>
      </c>
      <c r="F425" s="142"/>
      <c r="G425" s="12"/>
    </row>
    <row r="426" spans="2:7">
      <c r="B426" s="252" t="s">
        <v>1073</v>
      </c>
      <c r="C426" s="246" t="s">
        <v>1074</v>
      </c>
      <c r="D426" s="139">
        <v>901</v>
      </c>
      <c r="E426" s="141" t="b">
        <v>0</v>
      </c>
      <c r="F426" s="142"/>
      <c r="G426" s="12"/>
    </row>
    <row r="427" spans="2:7">
      <c r="B427" s="253"/>
      <c r="C427" s="247"/>
      <c r="D427" s="139">
        <v>902</v>
      </c>
      <c r="E427" s="141" t="b">
        <v>0</v>
      </c>
      <c r="F427" s="142"/>
      <c r="G427" s="12"/>
    </row>
    <row r="428" spans="2:7">
      <c r="B428" s="253"/>
      <c r="C428" s="248" t="s">
        <v>1075</v>
      </c>
      <c r="D428" s="139">
        <v>903</v>
      </c>
      <c r="E428" s="141" t="b">
        <v>0</v>
      </c>
      <c r="F428" s="142"/>
      <c r="G428" s="12"/>
    </row>
    <row r="429" spans="2:7">
      <c r="B429" s="253"/>
      <c r="C429" s="249"/>
      <c r="D429" s="139">
        <v>904</v>
      </c>
      <c r="E429" s="141" t="b">
        <v>0</v>
      </c>
      <c r="F429" s="142"/>
      <c r="G429" s="12"/>
    </row>
    <row r="430" spans="2:7">
      <c r="B430" s="253"/>
      <c r="C430" s="144" t="s">
        <v>1076</v>
      </c>
      <c r="D430" s="139">
        <v>905</v>
      </c>
      <c r="E430" s="141" t="b">
        <v>0</v>
      </c>
      <c r="F430" s="142"/>
      <c r="G430" s="12"/>
    </row>
    <row r="431" spans="2:7">
      <c r="B431" s="253"/>
      <c r="C431" s="145" t="s">
        <v>1077</v>
      </c>
      <c r="D431" s="139">
        <v>906</v>
      </c>
      <c r="E431" s="141" t="b">
        <v>0</v>
      </c>
      <c r="F431" s="142"/>
      <c r="G431" s="12"/>
    </row>
    <row r="432" spans="2:7">
      <c r="B432" s="253"/>
      <c r="C432" s="144" t="s">
        <v>1078</v>
      </c>
      <c r="D432" s="139">
        <v>907</v>
      </c>
      <c r="E432" s="141" t="b">
        <v>0</v>
      </c>
      <c r="F432" s="142"/>
      <c r="G432" s="12"/>
    </row>
    <row r="433" spans="2:7">
      <c r="B433" s="253"/>
      <c r="C433" s="145" t="s">
        <v>1079</v>
      </c>
      <c r="D433" s="139">
        <v>908</v>
      </c>
      <c r="E433" s="141" t="b">
        <v>0</v>
      </c>
      <c r="F433" s="142"/>
      <c r="G433" s="12"/>
    </row>
    <row r="434" spans="2:7">
      <c r="B434" s="253"/>
      <c r="C434" s="250" t="s">
        <v>1080</v>
      </c>
      <c r="D434" s="139">
        <v>909</v>
      </c>
      <c r="E434" s="141" t="b">
        <v>0</v>
      </c>
      <c r="F434" s="142"/>
      <c r="G434" s="12"/>
    </row>
    <row r="435" spans="2:7">
      <c r="B435" s="254"/>
      <c r="C435" s="251"/>
      <c r="D435" s="139">
        <v>910</v>
      </c>
      <c r="E435" s="141" t="b">
        <v>0</v>
      </c>
      <c r="F435" s="142"/>
      <c r="G435" s="12"/>
    </row>
  </sheetData>
  <autoFilter ref="C5:D363" xr:uid="{0537DA3C-725F-46AB-A4EA-CF2D68A1F987}">
    <sortState xmlns:xlrd2="http://schemas.microsoft.com/office/spreadsheetml/2017/richdata2" ref="C6:D363">
      <sortCondition ref="C5:C363"/>
    </sortState>
  </autoFilter>
  <mergeCells count="85">
    <mergeCell ref="B2:C2"/>
    <mergeCell ref="C381:C388"/>
    <mergeCell ref="C28:C35"/>
    <mergeCell ref="C6:C9"/>
    <mergeCell ref="C10:C13"/>
    <mergeCell ref="C14:C19"/>
    <mergeCell ref="C20:C23"/>
    <mergeCell ref="C24:C27"/>
    <mergeCell ref="C215:C220"/>
    <mergeCell ref="C100:C103"/>
    <mergeCell ref="C36:C43"/>
    <mergeCell ref="C44:C48"/>
    <mergeCell ref="C49:C53"/>
    <mergeCell ref="C54:C57"/>
    <mergeCell ref="C58:C63"/>
    <mergeCell ref="C64:C69"/>
    <mergeCell ref="C70:C73"/>
    <mergeCell ref="C74:C77"/>
    <mergeCell ref="C78:C85"/>
    <mergeCell ref="C86:C92"/>
    <mergeCell ref="C93:C99"/>
    <mergeCell ref="C196:C201"/>
    <mergeCell ref="C233:C236"/>
    <mergeCell ref="C146:C150"/>
    <mergeCell ref="C104:C107"/>
    <mergeCell ref="C108:C113"/>
    <mergeCell ref="C114:C121"/>
    <mergeCell ref="C122:C129"/>
    <mergeCell ref="C130:C135"/>
    <mergeCell ref="C136:C141"/>
    <mergeCell ref="C142:C145"/>
    <mergeCell ref="C151:C155"/>
    <mergeCell ref="C156:C160"/>
    <mergeCell ref="C161:C169"/>
    <mergeCell ref="C170:C175"/>
    <mergeCell ref="C202:C207"/>
    <mergeCell ref="C208:C214"/>
    <mergeCell ref="I4:J4"/>
    <mergeCell ref="C358:C363"/>
    <mergeCell ref="C316:C323"/>
    <mergeCell ref="C324:C329"/>
    <mergeCell ref="C330:C337"/>
    <mergeCell ref="C338:C345"/>
    <mergeCell ref="C346:C351"/>
    <mergeCell ref="C352:C357"/>
    <mergeCell ref="C308:C315"/>
    <mergeCell ref="C241:C248"/>
    <mergeCell ref="C249:C256"/>
    <mergeCell ref="C257:C263"/>
    <mergeCell ref="C264:C271"/>
    <mergeCell ref="C272:C275"/>
    <mergeCell ref="C276:C279"/>
    <mergeCell ref="C280:C283"/>
    <mergeCell ref="B5:B363"/>
    <mergeCell ref="C404:C405"/>
    <mergeCell ref="C406:C407"/>
    <mergeCell ref="C408:C410"/>
    <mergeCell ref="C411:C416"/>
    <mergeCell ref="C284:C288"/>
    <mergeCell ref="C289:C294"/>
    <mergeCell ref="C295:C300"/>
    <mergeCell ref="C301:C307"/>
    <mergeCell ref="C237:C240"/>
    <mergeCell ref="C221:C226"/>
    <mergeCell ref="C227:C232"/>
    <mergeCell ref="C176:C179"/>
    <mergeCell ref="C180:C183"/>
    <mergeCell ref="C184:C191"/>
    <mergeCell ref="C192:C195"/>
    <mergeCell ref="C426:C427"/>
    <mergeCell ref="C428:C429"/>
    <mergeCell ref="C434:C435"/>
    <mergeCell ref="B426:B435"/>
    <mergeCell ref="C419:C421"/>
    <mergeCell ref="C422:C425"/>
    <mergeCell ref="B364:B425"/>
    <mergeCell ref="C417:C418"/>
    <mergeCell ref="C389:C391"/>
    <mergeCell ref="C392:C395"/>
    <mergeCell ref="C396:C400"/>
    <mergeCell ref="C401:C403"/>
    <mergeCell ref="C364:C367"/>
    <mergeCell ref="C368:C373"/>
    <mergeCell ref="C374:C375"/>
    <mergeCell ref="C376:C380"/>
  </mergeCells>
  <conditionalFormatting sqref="D6:E175 D176:G363 F5:G175">
    <cfRule type="expression" dxfId="28" priority="5">
      <formula>MOD(ROW(),2)=1</formula>
    </cfRule>
  </conditionalFormatting>
  <conditionalFormatting sqref="T7:T39">
    <cfRule type="expression" dxfId="27" priority="3">
      <formula>MOD(ROW(),2)=1</formula>
    </cfRule>
  </conditionalFormatting>
  <conditionalFormatting sqref="D364:G435">
    <cfRule type="expression" dxfId="26" priority="1">
      <formula>MOD(ROW(),2)=1</formula>
    </cfRule>
  </conditionalFormatting>
  <dataValidations count="2">
    <dataValidation type="list" allowBlank="1" showInputMessage="1" showErrorMessage="1" sqref="T7" xr:uid="{EF7AC38B-E84E-45B9-B526-5006A68A6D98}">
      <formula1>$T$7:$T$39</formula1>
    </dataValidation>
    <dataValidation type="list" allowBlank="1" showInputMessage="1" showErrorMessage="1" sqref="G176:G1048576 G1:G175" xr:uid="{778BCDA0-7610-4586-B821-1F2A95B02627}">
      <formula1>$T$7:$T$19</formula1>
    </dataValidation>
  </dataValidations>
  <hyperlinks>
    <hyperlink ref="B2:C2" location="MENU" display="MENU" xr:uid="{EC920734-8C02-42FB-B38A-CA26A6E49E8F}"/>
  </hyperlink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7E17-6F4C-4032-A0C3-B096E19128F4}">
  <dimension ref="B2:S19"/>
  <sheetViews>
    <sheetView topLeftCell="C8" workbookViewId="0">
      <selection activeCell="J27" sqref="J27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7" max="7" width="11.57031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72">
      <c r="C8" s="95"/>
      <c r="D8" s="12"/>
      <c r="E8" s="67" t="s">
        <v>1087</v>
      </c>
      <c r="F8" s="66" t="s">
        <v>1088</v>
      </c>
      <c r="G8" s="66" t="s">
        <v>1089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</row>
    <row r="9" spans="2:19" ht="48">
      <c r="C9" s="95"/>
      <c r="D9" s="12"/>
      <c r="E9" s="67" t="s">
        <v>1087</v>
      </c>
      <c r="F9" s="66" t="s">
        <v>831</v>
      </c>
      <c r="G9" s="66" t="s">
        <v>1090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</row>
    <row r="10" spans="2:19" ht="25.5">
      <c r="C10" s="95"/>
      <c r="D10" s="12"/>
      <c r="E10" s="67" t="s">
        <v>1087</v>
      </c>
      <c r="F10" s="66" t="s">
        <v>833</v>
      </c>
      <c r="G10" s="66" t="s">
        <v>1091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</row>
    <row r="11" spans="2:19" ht="25.5">
      <c r="C11" s="95"/>
      <c r="D11" s="12"/>
      <c r="E11" s="67" t="s">
        <v>1087</v>
      </c>
      <c r="F11" s="66" t="s">
        <v>834</v>
      </c>
      <c r="G11" s="66" t="s">
        <v>1092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</row>
    <row r="12" spans="2:19" ht="48">
      <c r="C12" s="95"/>
      <c r="D12" s="12"/>
      <c r="E12" s="67" t="s">
        <v>1087</v>
      </c>
      <c r="F12" s="66" t="s">
        <v>836</v>
      </c>
      <c r="G12" s="66" t="s">
        <v>1093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</row>
    <row r="13" spans="2:19" ht="36">
      <c r="C13" s="95"/>
      <c r="D13" s="12"/>
      <c r="E13" s="67" t="s">
        <v>1087</v>
      </c>
      <c r="F13" s="66" t="s">
        <v>1094</v>
      </c>
      <c r="G13" s="66" t="s">
        <v>1095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</row>
    <row r="14" spans="2:19" ht="36">
      <c r="C14" s="95"/>
      <c r="D14" s="12"/>
      <c r="E14" s="67" t="s">
        <v>1087</v>
      </c>
      <c r="F14" s="66" t="s">
        <v>1096</v>
      </c>
      <c r="G14" s="66" t="s">
        <v>1097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25.5">
      <c r="C15" s="95"/>
      <c r="D15" s="12"/>
      <c r="E15" s="67" t="s">
        <v>1087</v>
      </c>
      <c r="F15" s="66" t="s">
        <v>1098</v>
      </c>
      <c r="G15" s="66" t="s">
        <v>1099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 ht="25.5">
      <c r="C16" s="95"/>
      <c r="D16" s="12"/>
      <c r="E16" s="67" t="s">
        <v>1087</v>
      </c>
      <c r="F16" s="66" t="s">
        <v>848</v>
      </c>
      <c r="G16" s="66" t="s">
        <v>215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25.5">
      <c r="C17" s="95"/>
      <c r="D17" s="12"/>
      <c r="E17" s="67" t="s">
        <v>1087</v>
      </c>
      <c r="F17" s="66" t="s">
        <v>1100</v>
      </c>
      <c r="G17" s="66" t="s">
        <v>1101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25.5">
      <c r="C18" s="95"/>
      <c r="D18" s="12"/>
      <c r="E18" s="67" t="s">
        <v>1087</v>
      </c>
      <c r="F18" s="66" t="s">
        <v>1102</v>
      </c>
      <c r="G18" s="66" t="s">
        <v>1091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>
      <c r="M19">
        <f>SUM(M8:M18)</f>
        <v>0</v>
      </c>
      <c r="N19">
        <f>SUM(N8:N18)</f>
        <v>0</v>
      </c>
      <c r="O19">
        <f>SUM(O8:O18)</f>
        <v>0</v>
      </c>
    </row>
  </sheetData>
  <mergeCells count="1">
    <mergeCell ref="B2:C2"/>
  </mergeCells>
  <conditionalFormatting sqref="C8:O18">
    <cfRule type="expression" dxfId="25" priority="5">
      <formula>MOD(ROW(),2)=1</formula>
    </cfRule>
  </conditionalFormatting>
  <conditionalFormatting sqref="C8:G18">
    <cfRule type="expression" dxfId="24" priority="3">
      <formula>MOD(ROW(),2)=19</formula>
    </cfRule>
  </conditionalFormatting>
  <conditionalFormatting sqref="S7">
    <cfRule type="expression" dxfId="23" priority="1">
      <formula>MOD(ROW(),2)=1</formula>
    </cfRule>
  </conditionalFormatting>
  <dataValidations count="1">
    <dataValidation type="list" allowBlank="1" showInputMessage="1" showErrorMessage="1" sqref="D1:D1048576" xr:uid="{713AD8CC-6B77-4B57-B6D4-79BD19DA9B5F}">
      <formula1>$S$7:$S$7</formula1>
    </dataValidation>
  </dataValidations>
  <hyperlinks>
    <hyperlink ref="B2:C2" location="MENU" display="MENU" xr:uid="{A828C023-DB7D-4485-9739-7BD6C1BA19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CEEA-B760-455A-A990-58180D1D7542}">
  <dimension ref="B2:S71"/>
  <sheetViews>
    <sheetView workbookViewId="0">
      <selection activeCell="N72" sqref="N72"/>
    </sheetView>
  </sheetViews>
  <sheetFormatPr defaultRowHeight="15"/>
  <cols>
    <col min="2" max="2" width="16" style="92" customWidth="1"/>
    <col min="3" max="3" width="14.28515625" customWidth="1"/>
    <col min="4" max="4" width="25.42578125" customWidth="1"/>
    <col min="5" max="5" width="12.42578125" customWidth="1"/>
    <col min="6" max="6" width="12" customWidth="1"/>
    <col min="7" max="7" width="17.85546875" customWidth="1"/>
    <col min="8" max="8" width="12.140625" customWidth="1"/>
    <col min="9" max="9" width="12" customWidth="1"/>
    <col min="10" max="10" width="19" customWidth="1"/>
    <col min="11" max="11" width="13.85546875" customWidth="1"/>
    <col min="19" max="19" width="0" hidden="1" customWidth="1"/>
  </cols>
  <sheetData>
    <row r="2" spans="2:19" ht="46.5">
      <c r="B2" s="211" t="s">
        <v>30</v>
      </c>
      <c r="C2" s="211"/>
    </row>
    <row r="5" spans="2:19" ht="93.75" customHeight="1">
      <c r="B5" s="93" t="s">
        <v>31</v>
      </c>
      <c r="C5" s="47" t="s">
        <v>32</v>
      </c>
      <c r="D5" s="47" t="s">
        <v>1103</v>
      </c>
      <c r="E5" s="21" t="s">
        <v>1082</v>
      </c>
      <c r="F5" s="21" t="s">
        <v>34</v>
      </c>
      <c r="G5" s="22" t="s">
        <v>25</v>
      </c>
      <c r="H5" s="22" t="s">
        <v>29</v>
      </c>
      <c r="I5" s="22" t="s">
        <v>35</v>
      </c>
      <c r="J5" s="22" t="s">
        <v>36</v>
      </c>
      <c r="K5" s="22" t="s">
        <v>37</v>
      </c>
      <c r="L5" s="23" t="s">
        <v>2</v>
      </c>
      <c r="M5" s="23" t="s">
        <v>3</v>
      </c>
      <c r="N5" s="24" t="s">
        <v>4</v>
      </c>
    </row>
    <row r="6" spans="2:19" ht="40.5">
      <c r="B6" s="89"/>
      <c r="C6" s="4"/>
      <c r="D6" s="68" t="s">
        <v>1104</v>
      </c>
      <c r="E6" s="69" t="s">
        <v>1105</v>
      </c>
      <c r="F6" s="69" t="s">
        <v>1106</v>
      </c>
      <c r="G6" s="72" t="b">
        <v>0</v>
      </c>
      <c r="H6" s="72" t="b">
        <v>0</v>
      </c>
      <c r="I6" s="72" t="b">
        <v>0</v>
      </c>
      <c r="J6" s="72" t="b">
        <v>0</v>
      </c>
      <c r="K6" s="72" t="b">
        <v>0</v>
      </c>
      <c r="L6" s="73"/>
      <c r="M6" s="73"/>
      <c r="N6" s="74"/>
    </row>
    <row r="7" spans="2:19" ht="94.5">
      <c r="B7" s="90"/>
      <c r="C7" s="2"/>
      <c r="D7" s="29" t="s">
        <v>1104</v>
      </c>
      <c r="E7" s="66" t="s">
        <v>1107</v>
      </c>
      <c r="F7" s="66" t="s">
        <v>1108</v>
      </c>
      <c r="G7" s="75" t="b">
        <v>0</v>
      </c>
      <c r="H7" s="75" t="b">
        <v>0</v>
      </c>
      <c r="I7" s="75" t="b">
        <v>0</v>
      </c>
      <c r="J7" s="75" t="b">
        <v>0</v>
      </c>
      <c r="K7" s="75" t="b">
        <v>0</v>
      </c>
      <c r="L7" s="76"/>
      <c r="M7" s="76"/>
      <c r="N7" s="77"/>
      <c r="S7" s="102" t="s">
        <v>51</v>
      </c>
    </row>
    <row r="8" spans="2:19" ht="94.5">
      <c r="B8" s="90"/>
      <c r="C8" s="2"/>
      <c r="D8" s="29" t="s">
        <v>1104</v>
      </c>
      <c r="E8" s="66" t="s">
        <v>1109</v>
      </c>
      <c r="F8" s="66" t="s">
        <v>1110</v>
      </c>
      <c r="G8" s="75" t="b">
        <v>0</v>
      </c>
      <c r="H8" s="75" t="b">
        <v>0</v>
      </c>
      <c r="I8" s="75" t="b">
        <v>0</v>
      </c>
      <c r="J8" s="75" t="b">
        <v>0</v>
      </c>
      <c r="K8" s="75" t="b">
        <v>0</v>
      </c>
      <c r="L8" s="76"/>
      <c r="M8" s="76"/>
      <c r="N8" s="77"/>
      <c r="S8" s="102" t="s">
        <v>53</v>
      </c>
    </row>
    <row r="9" spans="2:19" ht="94.5">
      <c r="B9" s="90"/>
      <c r="C9" s="2"/>
      <c r="D9" s="29" t="s">
        <v>1104</v>
      </c>
      <c r="E9" s="66" t="s">
        <v>1111</v>
      </c>
      <c r="F9" s="66" t="s">
        <v>1112</v>
      </c>
      <c r="G9" s="75" t="b">
        <v>0</v>
      </c>
      <c r="H9" s="75" t="b">
        <v>0</v>
      </c>
      <c r="I9" s="75" t="b">
        <v>0</v>
      </c>
      <c r="J9" s="75" t="b">
        <v>0</v>
      </c>
      <c r="K9" s="75" t="b">
        <v>0</v>
      </c>
      <c r="L9" s="76"/>
      <c r="M9" s="76"/>
      <c r="N9" s="77"/>
      <c r="S9" s="102" t="s">
        <v>56</v>
      </c>
    </row>
    <row r="10" spans="2:19" ht="94.5">
      <c r="B10" s="90"/>
      <c r="C10" s="2"/>
      <c r="D10" s="29" t="s">
        <v>1104</v>
      </c>
      <c r="E10" s="66" t="s">
        <v>1113</v>
      </c>
      <c r="F10" s="66" t="s">
        <v>1114</v>
      </c>
      <c r="G10" s="75" t="b">
        <v>0</v>
      </c>
      <c r="H10" s="75" t="b">
        <v>0</v>
      </c>
      <c r="I10" s="75" t="b">
        <v>0</v>
      </c>
      <c r="J10" s="75" t="b">
        <v>0</v>
      </c>
      <c r="K10" s="75" t="b">
        <v>0</v>
      </c>
      <c r="L10" s="76"/>
      <c r="M10" s="76"/>
      <c r="N10" s="77"/>
      <c r="S10" s="102" t="s">
        <v>59</v>
      </c>
    </row>
    <row r="11" spans="2:19" ht="94.5">
      <c r="B11" s="90"/>
      <c r="C11" s="2"/>
      <c r="D11" s="29" t="s">
        <v>1104</v>
      </c>
      <c r="E11" s="66" t="s">
        <v>1115</v>
      </c>
      <c r="F11" s="66" t="s">
        <v>1116</v>
      </c>
      <c r="G11" s="75" t="b">
        <v>0</v>
      </c>
      <c r="H11" s="75" t="b">
        <v>0</v>
      </c>
      <c r="I11" s="75" t="b">
        <v>0</v>
      </c>
      <c r="J11" s="75" t="b">
        <v>0</v>
      </c>
      <c r="K11" s="75" t="b">
        <v>0</v>
      </c>
      <c r="L11" s="76"/>
      <c r="M11" s="76"/>
      <c r="N11" s="77"/>
      <c r="S11" s="102" t="s">
        <v>62</v>
      </c>
    </row>
    <row r="12" spans="2:19" ht="94.5">
      <c r="B12" s="90"/>
      <c r="C12" s="2"/>
      <c r="D12" s="29" t="s">
        <v>1104</v>
      </c>
      <c r="E12" s="66" t="s">
        <v>1117</v>
      </c>
      <c r="F12" s="66" t="s">
        <v>1118</v>
      </c>
      <c r="G12" s="75" t="b">
        <v>0</v>
      </c>
      <c r="H12" s="75" t="b">
        <v>0</v>
      </c>
      <c r="I12" s="75" t="b">
        <v>0</v>
      </c>
      <c r="J12" s="75" t="b">
        <v>0</v>
      </c>
      <c r="K12" s="75" t="b">
        <v>0</v>
      </c>
      <c r="L12" s="76"/>
      <c r="M12" s="76"/>
      <c r="N12" s="77"/>
      <c r="S12" s="102" t="s">
        <v>66</v>
      </c>
    </row>
    <row r="13" spans="2:19" ht="94.5">
      <c r="B13" s="90"/>
      <c r="C13" s="2"/>
      <c r="D13" s="29" t="s">
        <v>1104</v>
      </c>
      <c r="E13" s="66" t="s">
        <v>1119</v>
      </c>
      <c r="F13" s="66" t="s">
        <v>1120</v>
      </c>
      <c r="G13" s="75" t="b">
        <v>0</v>
      </c>
      <c r="H13" s="75" t="b">
        <v>0</v>
      </c>
      <c r="I13" s="75" t="b">
        <v>0</v>
      </c>
      <c r="J13" s="75" t="b">
        <v>0</v>
      </c>
      <c r="K13" s="75" t="b">
        <v>0</v>
      </c>
      <c r="L13" s="76"/>
      <c r="M13" s="76"/>
      <c r="N13" s="77"/>
      <c r="S13" s="102" t="s">
        <v>69</v>
      </c>
    </row>
    <row r="14" spans="2:19" ht="94.5">
      <c r="B14" s="90"/>
      <c r="C14" s="2"/>
      <c r="D14" s="29" t="s">
        <v>1104</v>
      </c>
      <c r="E14" s="66" t="s">
        <v>1121</v>
      </c>
      <c r="F14" s="66" t="s">
        <v>1122</v>
      </c>
      <c r="G14" s="75" t="b">
        <v>0</v>
      </c>
      <c r="H14" s="75" t="b">
        <v>0</v>
      </c>
      <c r="I14" s="75" t="b">
        <v>0</v>
      </c>
      <c r="J14" s="75" t="b">
        <v>0</v>
      </c>
      <c r="K14" s="75" t="b">
        <v>0</v>
      </c>
      <c r="L14" s="76"/>
      <c r="M14" s="76"/>
      <c r="N14" s="77"/>
      <c r="S14" s="102" t="s">
        <v>72</v>
      </c>
    </row>
    <row r="15" spans="2:19" ht="96">
      <c r="B15" s="90"/>
      <c r="C15" s="2"/>
      <c r="D15" s="29" t="s">
        <v>1104</v>
      </c>
      <c r="E15" s="66" t="s">
        <v>1123</v>
      </c>
      <c r="F15" s="66" t="s">
        <v>1124</v>
      </c>
      <c r="G15" s="75" t="b">
        <v>0</v>
      </c>
      <c r="H15" s="75" t="b">
        <v>0</v>
      </c>
      <c r="I15" s="75" t="b">
        <v>0</v>
      </c>
      <c r="J15" s="75" t="b">
        <v>0</v>
      </c>
      <c r="K15" s="75" t="b">
        <v>0</v>
      </c>
      <c r="L15" s="76"/>
      <c r="M15" s="76"/>
      <c r="N15" s="77"/>
      <c r="S15" s="102" t="s">
        <v>75</v>
      </c>
    </row>
    <row r="16" spans="2:19" ht="94.5">
      <c r="B16" s="90"/>
      <c r="C16" s="2"/>
      <c r="D16" s="29" t="s">
        <v>1104</v>
      </c>
      <c r="E16" s="66" t="s">
        <v>1125</v>
      </c>
      <c r="F16" s="66" t="s">
        <v>1120</v>
      </c>
      <c r="G16" s="75" t="b">
        <v>0</v>
      </c>
      <c r="H16" s="75" t="b">
        <v>0</v>
      </c>
      <c r="I16" s="75" t="b">
        <v>0</v>
      </c>
      <c r="J16" s="75" t="b">
        <v>0</v>
      </c>
      <c r="K16" s="75" t="b">
        <v>0</v>
      </c>
      <c r="L16" s="76"/>
      <c r="M16" s="76"/>
      <c r="N16" s="77"/>
      <c r="S16" s="102" t="s">
        <v>78</v>
      </c>
    </row>
    <row r="17" spans="2:19" ht="94.5">
      <c r="B17" s="90"/>
      <c r="C17" s="2"/>
      <c r="D17" s="29" t="s">
        <v>1104</v>
      </c>
      <c r="E17" s="66" t="s">
        <v>1126</v>
      </c>
      <c r="F17" s="66" t="s">
        <v>1114</v>
      </c>
      <c r="G17" s="75" t="b">
        <v>0</v>
      </c>
      <c r="H17" s="75" t="b">
        <v>0</v>
      </c>
      <c r="I17" s="75" t="b">
        <v>0</v>
      </c>
      <c r="J17" s="75" t="b">
        <v>0</v>
      </c>
      <c r="K17" s="75" t="b">
        <v>0</v>
      </c>
      <c r="L17" s="76"/>
      <c r="M17" s="76"/>
      <c r="N17" s="77"/>
      <c r="S17" s="102" t="s">
        <v>81</v>
      </c>
    </row>
    <row r="18" spans="2:19" ht="94.5">
      <c r="B18" s="90"/>
      <c r="C18" s="2"/>
      <c r="D18" s="29" t="s">
        <v>1104</v>
      </c>
      <c r="E18" s="66" t="s">
        <v>1127</v>
      </c>
      <c r="F18" s="66" t="s">
        <v>425</v>
      </c>
      <c r="G18" s="75" t="b">
        <v>0</v>
      </c>
      <c r="H18" s="75" t="b">
        <v>0</v>
      </c>
      <c r="I18" s="75" t="b">
        <v>0</v>
      </c>
      <c r="J18" s="75" t="b">
        <v>0</v>
      </c>
      <c r="K18" s="75" t="b">
        <v>0</v>
      </c>
      <c r="L18" s="76"/>
      <c r="M18" s="76"/>
      <c r="N18" s="77"/>
      <c r="S18" s="102" t="s">
        <v>63</v>
      </c>
    </row>
    <row r="19" spans="2:19" ht="94.5">
      <c r="B19" s="90"/>
      <c r="C19" s="2"/>
      <c r="D19" s="29" t="s">
        <v>1104</v>
      </c>
      <c r="E19" s="66" t="s">
        <v>1128</v>
      </c>
      <c r="F19" s="66" t="s">
        <v>272</v>
      </c>
      <c r="G19" s="75" t="b">
        <v>0</v>
      </c>
      <c r="H19" s="75" t="b">
        <v>0</v>
      </c>
      <c r="I19" s="75" t="b">
        <v>0</v>
      </c>
      <c r="J19" s="75" t="b">
        <v>0</v>
      </c>
      <c r="K19" s="75" t="b">
        <v>0</v>
      </c>
      <c r="L19" s="76"/>
      <c r="M19" s="76"/>
      <c r="N19" s="77"/>
      <c r="S19" s="102" t="s">
        <v>85</v>
      </c>
    </row>
    <row r="20" spans="2:19" ht="94.5">
      <c r="B20" s="90"/>
      <c r="C20" s="2"/>
      <c r="D20" s="29" t="s">
        <v>1104</v>
      </c>
      <c r="E20" s="66" t="s">
        <v>1129</v>
      </c>
      <c r="F20" s="66" t="s">
        <v>1130</v>
      </c>
      <c r="G20" s="75" t="b">
        <v>0</v>
      </c>
      <c r="H20" s="75" t="b">
        <v>0</v>
      </c>
      <c r="I20" s="75" t="b">
        <v>0</v>
      </c>
      <c r="J20" s="75" t="b">
        <v>0</v>
      </c>
      <c r="K20" s="75" t="b">
        <v>0</v>
      </c>
      <c r="L20" s="76"/>
      <c r="M20" s="76"/>
      <c r="N20" s="77"/>
      <c r="S20" s="102" t="s">
        <v>88</v>
      </c>
    </row>
    <row r="21" spans="2:19" ht="94.5">
      <c r="B21" s="90"/>
      <c r="C21" s="2"/>
      <c r="D21" s="29" t="s">
        <v>1104</v>
      </c>
      <c r="E21" s="66" t="s">
        <v>1131</v>
      </c>
      <c r="F21" s="66" t="s">
        <v>1132</v>
      </c>
      <c r="G21" s="75" t="b">
        <v>0</v>
      </c>
      <c r="H21" s="75" t="b">
        <v>0</v>
      </c>
      <c r="I21" s="75" t="b">
        <v>0</v>
      </c>
      <c r="J21" s="75" t="b">
        <v>0</v>
      </c>
      <c r="K21" s="75" t="b">
        <v>0</v>
      </c>
      <c r="L21" s="76"/>
      <c r="M21" s="76"/>
      <c r="N21" s="77"/>
      <c r="S21" s="102" t="s">
        <v>91</v>
      </c>
    </row>
    <row r="22" spans="2:19" ht="94.5">
      <c r="B22" s="90"/>
      <c r="C22" s="2"/>
      <c r="D22" s="29" t="s">
        <v>1104</v>
      </c>
      <c r="E22" s="66" t="s">
        <v>1133</v>
      </c>
      <c r="F22" s="66" t="s">
        <v>1134</v>
      </c>
      <c r="G22" s="75" t="b">
        <v>0</v>
      </c>
      <c r="H22" s="75" t="b">
        <v>0</v>
      </c>
      <c r="I22" s="75" t="b">
        <v>0</v>
      </c>
      <c r="J22" s="75" t="b">
        <v>0</v>
      </c>
      <c r="K22" s="75" t="b">
        <v>0</v>
      </c>
      <c r="L22" s="76"/>
      <c r="M22" s="76"/>
      <c r="N22" s="77"/>
      <c r="S22" s="102" t="s">
        <v>94</v>
      </c>
    </row>
    <row r="23" spans="2:19" ht="94.5">
      <c r="B23" s="90"/>
      <c r="C23" s="2"/>
      <c r="D23" s="29" t="s">
        <v>1104</v>
      </c>
      <c r="E23" s="66" t="s">
        <v>1135</v>
      </c>
      <c r="F23" s="66" t="s">
        <v>272</v>
      </c>
      <c r="G23" s="75" t="b">
        <v>0</v>
      </c>
      <c r="H23" s="75" t="b">
        <v>0</v>
      </c>
      <c r="I23" s="75" t="b">
        <v>0</v>
      </c>
      <c r="J23" s="75" t="b">
        <v>0</v>
      </c>
      <c r="K23" s="75" t="b">
        <v>0</v>
      </c>
      <c r="L23" s="76"/>
      <c r="M23" s="76"/>
      <c r="N23" s="77"/>
      <c r="S23" s="102"/>
    </row>
    <row r="24" spans="2:19" ht="94.5">
      <c r="B24" s="90"/>
      <c r="C24" s="2"/>
      <c r="D24" s="29" t="s">
        <v>1104</v>
      </c>
      <c r="E24" s="66" t="s">
        <v>1136</v>
      </c>
      <c r="F24" s="66" t="s">
        <v>1137</v>
      </c>
      <c r="G24" s="75" t="b">
        <v>0</v>
      </c>
      <c r="H24" s="75" t="b">
        <v>0</v>
      </c>
      <c r="I24" s="75" t="b">
        <v>0</v>
      </c>
      <c r="J24" s="75" t="b">
        <v>0</v>
      </c>
      <c r="K24" s="75" t="b">
        <v>0</v>
      </c>
      <c r="L24" s="76"/>
      <c r="M24" s="76"/>
      <c r="N24" s="77"/>
      <c r="S24" s="102"/>
    </row>
    <row r="25" spans="2:19" ht="94.5">
      <c r="B25" s="90"/>
      <c r="C25" s="2"/>
      <c r="D25" s="29" t="s">
        <v>1104</v>
      </c>
      <c r="E25" s="66" t="s">
        <v>1138</v>
      </c>
      <c r="F25" s="66" t="s">
        <v>1139</v>
      </c>
      <c r="G25" s="75" t="b">
        <v>0</v>
      </c>
      <c r="H25" s="75" t="b">
        <v>0</v>
      </c>
      <c r="I25" s="75" t="b">
        <v>0</v>
      </c>
      <c r="J25" s="75" t="b">
        <v>0</v>
      </c>
      <c r="K25" s="75" t="b">
        <v>0</v>
      </c>
      <c r="L25" s="76"/>
      <c r="M25" s="76"/>
      <c r="N25" s="77"/>
      <c r="S25" s="102"/>
    </row>
    <row r="26" spans="2:19" ht="94.5">
      <c r="B26" s="90"/>
      <c r="C26" s="2"/>
      <c r="D26" s="29" t="s">
        <v>1104</v>
      </c>
      <c r="E26" s="66" t="s">
        <v>1140</v>
      </c>
      <c r="F26" s="66" t="s">
        <v>1141</v>
      </c>
      <c r="G26" s="75" t="b">
        <v>0</v>
      </c>
      <c r="H26" s="75" t="b">
        <v>0</v>
      </c>
      <c r="I26" s="75" t="b">
        <v>0</v>
      </c>
      <c r="J26" s="75" t="b">
        <v>0</v>
      </c>
      <c r="K26" s="75" t="b">
        <v>0</v>
      </c>
      <c r="L26" s="76"/>
      <c r="M26" s="76"/>
      <c r="N26" s="77"/>
      <c r="S26" s="102"/>
    </row>
    <row r="27" spans="2:19" ht="94.5">
      <c r="B27" s="90"/>
      <c r="C27" s="2"/>
      <c r="D27" s="29" t="s">
        <v>1104</v>
      </c>
      <c r="E27" s="66" t="s">
        <v>1142</v>
      </c>
      <c r="F27" s="66" t="s">
        <v>1143</v>
      </c>
      <c r="G27" s="75" t="b">
        <v>0</v>
      </c>
      <c r="H27" s="75" t="b">
        <v>0</v>
      </c>
      <c r="I27" s="75" t="b">
        <v>0</v>
      </c>
      <c r="J27" s="75" t="b">
        <v>0</v>
      </c>
      <c r="K27" s="75" t="b">
        <v>0</v>
      </c>
      <c r="L27" s="76"/>
      <c r="M27" s="76"/>
      <c r="N27" s="77"/>
      <c r="S27" s="102"/>
    </row>
    <row r="28" spans="2:19" ht="94.5">
      <c r="B28" s="90"/>
      <c r="C28" s="2"/>
      <c r="D28" s="29" t="s">
        <v>1104</v>
      </c>
      <c r="E28" s="66" t="s">
        <v>1144</v>
      </c>
      <c r="F28" s="66" t="s">
        <v>1145</v>
      </c>
      <c r="G28" s="75" t="b">
        <v>0</v>
      </c>
      <c r="H28" s="75" t="b">
        <v>0</v>
      </c>
      <c r="I28" s="75" t="b">
        <v>0</v>
      </c>
      <c r="J28" s="75" t="b">
        <v>0</v>
      </c>
      <c r="K28" s="75" t="b">
        <v>0</v>
      </c>
      <c r="L28" s="76"/>
      <c r="M28" s="76"/>
      <c r="N28" s="77"/>
      <c r="S28" s="102"/>
    </row>
    <row r="29" spans="2:19" ht="94.5">
      <c r="B29" s="90"/>
      <c r="C29" s="2"/>
      <c r="D29" s="29" t="s">
        <v>1104</v>
      </c>
      <c r="E29" s="66" t="s">
        <v>1146</v>
      </c>
      <c r="F29" s="66" t="s">
        <v>1147</v>
      </c>
      <c r="G29" s="75" t="b">
        <v>0</v>
      </c>
      <c r="H29" s="75" t="b">
        <v>0</v>
      </c>
      <c r="I29" s="75" t="b">
        <v>0</v>
      </c>
      <c r="J29" s="75" t="b">
        <v>0</v>
      </c>
      <c r="K29" s="75" t="b">
        <v>0</v>
      </c>
      <c r="L29" s="76"/>
      <c r="M29" s="76"/>
      <c r="N29" s="77"/>
      <c r="S29" s="102"/>
    </row>
    <row r="30" spans="2:19" ht="94.5">
      <c r="B30" s="90"/>
      <c r="C30" s="2"/>
      <c r="D30" s="29" t="s">
        <v>1104</v>
      </c>
      <c r="E30" s="66" t="s">
        <v>1148</v>
      </c>
      <c r="F30" s="66" t="s">
        <v>1118</v>
      </c>
      <c r="G30" s="75" t="b">
        <v>0</v>
      </c>
      <c r="H30" s="75" t="b">
        <v>0</v>
      </c>
      <c r="I30" s="75" t="b">
        <v>0</v>
      </c>
      <c r="J30" s="75" t="b">
        <v>0</v>
      </c>
      <c r="K30" s="75" t="b">
        <v>0</v>
      </c>
      <c r="L30" s="76"/>
      <c r="M30" s="76"/>
      <c r="N30" s="77"/>
      <c r="S30" s="102"/>
    </row>
    <row r="31" spans="2:19" ht="94.5">
      <c r="B31" s="90"/>
      <c r="C31" s="2"/>
      <c r="D31" s="29" t="s">
        <v>1104</v>
      </c>
      <c r="E31" s="66" t="s">
        <v>1149</v>
      </c>
      <c r="F31" s="66" t="s">
        <v>1150</v>
      </c>
      <c r="G31" s="75" t="b">
        <v>0</v>
      </c>
      <c r="H31" s="75" t="b">
        <v>0</v>
      </c>
      <c r="I31" s="75" t="b">
        <v>0</v>
      </c>
      <c r="J31" s="75" t="b">
        <v>0</v>
      </c>
      <c r="K31" s="75" t="b">
        <v>0</v>
      </c>
      <c r="L31" s="76"/>
      <c r="M31" s="76"/>
      <c r="N31" s="77"/>
      <c r="S31" s="102"/>
    </row>
    <row r="32" spans="2:19" ht="94.5">
      <c r="B32" s="90"/>
      <c r="C32" s="2"/>
      <c r="D32" s="29" t="s">
        <v>1104</v>
      </c>
      <c r="E32" s="66" t="s">
        <v>1151</v>
      </c>
      <c r="F32" s="66" t="s">
        <v>1152</v>
      </c>
      <c r="G32" s="75" t="b">
        <v>0</v>
      </c>
      <c r="H32" s="75" t="b">
        <v>0</v>
      </c>
      <c r="I32" s="75" t="b">
        <v>0</v>
      </c>
      <c r="J32" s="75" t="b">
        <v>0</v>
      </c>
      <c r="K32" s="75" t="b">
        <v>0</v>
      </c>
      <c r="L32" s="76"/>
      <c r="M32" s="76"/>
      <c r="N32" s="77"/>
      <c r="S32" s="102"/>
    </row>
    <row r="33" spans="2:19" ht="94.5">
      <c r="B33" s="90"/>
      <c r="C33" s="2"/>
      <c r="D33" s="29" t="s">
        <v>1104</v>
      </c>
      <c r="E33" s="66" t="s">
        <v>1153</v>
      </c>
      <c r="F33" s="66" t="s">
        <v>1154</v>
      </c>
      <c r="G33" s="75" t="b">
        <v>0</v>
      </c>
      <c r="H33" s="75" t="b">
        <v>0</v>
      </c>
      <c r="I33" s="75" t="b">
        <v>0</v>
      </c>
      <c r="J33" s="75" t="b">
        <v>0</v>
      </c>
      <c r="K33" s="75" t="b">
        <v>0</v>
      </c>
      <c r="L33" s="76"/>
      <c r="M33" s="76"/>
      <c r="N33" s="77"/>
      <c r="S33" s="102"/>
    </row>
    <row r="34" spans="2:19" ht="94.5">
      <c r="B34" s="90"/>
      <c r="C34" s="2"/>
      <c r="D34" s="29" t="s">
        <v>1104</v>
      </c>
      <c r="E34" s="66" t="s">
        <v>1155</v>
      </c>
      <c r="F34" s="66" t="s">
        <v>272</v>
      </c>
      <c r="G34" s="75" t="b">
        <v>0</v>
      </c>
      <c r="H34" s="75" t="b">
        <v>0</v>
      </c>
      <c r="I34" s="75" t="b">
        <v>0</v>
      </c>
      <c r="J34" s="75" t="b">
        <v>0</v>
      </c>
      <c r="K34" s="75" t="b">
        <v>0</v>
      </c>
      <c r="L34" s="76"/>
      <c r="M34" s="76"/>
      <c r="N34" s="77"/>
      <c r="S34" s="102"/>
    </row>
    <row r="35" spans="2:19" ht="94.5">
      <c r="B35" s="90"/>
      <c r="C35" s="2"/>
      <c r="D35" s="29" t="s">
        <v>1104</v>
      </c>
      <c r="E35" s="66" t="s">
        <v>1156</v>
      </c>
      <c r="F35" s="66" t="s">
        <v>1157</v>
      </c>
      <c r="G35" s="75" t="b">
        <v>0</v>
      </c>
      <c r="H35" s="75" t="b">
        <v>0</v>
      </c>
      <c r="I35" s="75" t="b">
        <v>0</v>
      </c>
      <c r="J35" s="75" t="b">
        <v>0</v>
      </c>
      <c r="K35" s="75" t="b">
        <v>0</v>
      </c>
      <c r="L35" s="76"/>
      <c r="M35" s="76"/>
      <c r="N35" s="77"/>
      <c r="S35" s="102"/>
    </row>
    <row r="36" spans="2:19" ht="94.5">
      <c r="B36" s="90"/>
      <c r="C36" s="2"/>
      <c r="D36" s="29" t="s">
        <v>1104</v>
      </c>
      <c r="E36" s="66" t="s">
        <v>1158</v>
      </c>
      <c r="F36" s="66" t="s">
        <v>1130</v>
      </c>
      <c r="G36" s="75" t="b">
        <v>0</v>
      </c>
      <c r="H36" s="75" t="b">
        <v>0</v>
      </c>
      <c r="I36" s="75" t="b">
        <v>0</v>
      </c>
      <c r="J36" s="75" t="b">
        <v>0</v>
      </c>
      <c r="K36" s="75" t="b">
        <v>0</v>
      </c>
      <c r="L36" s="76"/>
      <c r="M36" s="76"/>
      <c r="N36" s="77"/>
      <c r="S36" s="102"/>
    </row>
    <row r="37" spans="2:19" ht="94.5">
      <c r="B37" s="90"/>
      <c r="C37" s="2"/>
      <c r="D37" s="29" t="s">
        <v>1104</v>
      </c>
      <c r="E37" s="66" t="s">
        <v>1159</v>
      </c>
      <c r="F37" s="66" t="s">
        <v>1160</v>
      </c>
      <c r="G37" s="75" t="b">
        <v>0</v>
      </c>
      <c r="H37" s="75" t="b">
        <v>0</v>
      </c>
      <c r="I37" s="75" t="b">
        <v>0</v>
      </c>
      <c r="J37" s="75" t="b">
        <v>0</v>
      </c>
      <c r="K37" s="75" t="b">
        <v>0</v>
      </c>
      <c r="L37" s="76"/>
      <c r="M37" s="76"/>
      <c r="N37" s="77"/>
      <c r="S37" s="102"/>
    </row>
    <row r="38" spans="2:19" ht="94.5">
      <c r="B38" s="90"/>
      <c r="C38" s="2"/>
      <c r="D38" s="29" t="s">
        <v>1104</v>
      </c>
      <c r="E38" s="66" t="s">
        <v>1161</v>
      </c>
      <c r="F38" s="66" t="s">
        <v>1154</v>
      </c>
      <c r="G38" s="75" t="b">
        <v>0</v>
      </c>
      <c r="H38" s="75" t="b">
        <v>0</v>
      </c>
      <c r="I38" s="75" t="b">
        <v>0</v>
      </c>
      <c r="J38" s="75" t="b">
        <v>0</v>
      </c>
      <c r="K38" s="75" t="b">
        <v>0</v>
      </c>
      <c r="L38" s="76"/>
      <c r="M38" s="76"/>
      <c r="N38" s="77"/>
      <c r="S38" s="102"/>
    </row>
    <row r="39" spans="2:19" ht="94.5">
      <c r="B39" s="90"/>
      <c r="C39" s="2"/>
      <c r="D39" s="29" t="s">
        <v>1104</v>
      </c>
      <c r="E39" s="66" t="s">
        <v>1162</v>
      </c>
      <c r="F39" s="66" t="s">
        <v>1163</v>
      </c>
      <c r="G39" s="75" t="b">
        <v>0</v>
      </c>
      <c r="H39" s="75" t="b">
        <v>0</v>
      </c>
      <c r="I39" s="75" t="b">
        <v>0</v>
      </c>
      <c r="J39" s="75" t="b">
        <v>0</v>
      </c>
      <c r="K39" s="75" t="b">
        <v>0</v>
      </c>
      <c r="L39" s="76"/>
      <c r="M39" s="76"/>
      <c r="N39" s="77"/>
      <c r="S39" s="103"/>
    </row>
    <row r="40" spans="2:19" ht="94.5">
      <c r="B40" s="90"/>
      <c r="C40" s="2"/>
      <c r="D40" s="29" t="s">
        <v>1104</v>
      </c>
      <c r="E40" s="66" t="s">
        <v>1164</v>
      </c>
      <c r="F40" s="66" t="s">
        <v>1165</v>
      </c>
      <c r="G40" s="75" t="b">
        <v>0</v>
      </c>
      <c r="H40" s="75" t="b">
        <v>0</v>
      </c>
      <c r="I40" s="75" t="b">
        <v>0</v>
      </c>
      <c r="J40" s="75" t="b">
        <v>0</v>
      </c>
      <c r="K40" s="75" t="b">
        <v>0</v>
      </c>
      <c r="L40" s="76"/>
      <c r="M40" s="76"/>
      <c r="N40" s="77"/>
    </row>
    <row r="41" spans="2:19" ht="94.5">
      <c r="B41" s="90"/>
      <c r="C41" s="2"/>
      <c r="D41" s="29" t="s">
        <v>1104</v>
      </c>
      <c r="E41" s="66" t="s">
        <v>1166</v>
      </c>
      <c r="F41" s="66" t="s">
        <v>1167</v>
      </c>
      <c r="G41" s="75" t="b">
        <v>0</v>
      </c>
      <c r="H41" s="75" t="b">
        <v>0</v>
      </c>
      <c r="I41" s="75" t="b">
        <v>0</v>
      </c>
      <c r="J41" s="75" t="b">
        <v>0</v>
      </c>
      <c r="K41" s="75" t="b">
        <v>0</v>
      </c>
      <c r="L41" s="76"/>
      <c r="M41" s="76"/>
      <c r="N41" s="77"/>
    </row>
    <row r="42" spans="2:19" ht="94.5">
      <c r="B42" s="90"/>
      <c r="C42" s="2"/>
      <c r="D42" s="29" t="s">
        <v>1104</v>
      </c>
      <c r="E42" s="66" t="s">
        <v>1168</v>
      </c>
      <c r="F42" s="66" t="s">
        <v>1169</v>
      </c>
      <c r="G42" s="75" t="b">
        <v>0</v>
      </c>
      <c r="H42" s="75" t="b">
        <v>0</v>
      </c>
      <c r="I42" s="75" t="b">
        <v>0</v>
      </c>
      <c r="J42" s="75" t="b">
        <v>0</v>
      </c>
      <c r="K42" s="75" t="b">
        <v>0</v>
      </c>
      <c r="L42" s="76"/>
      <c r="M42" s="76"/>
      <c r="N42" s="77"/>
    </row>
    <row r="43" spans="2:19" ht="94.5">
      <c r="B43" s="90"/>
      <c r="C43" s="2"/>
      <c r="D43" s="29" t="s">
        <v>1104</v>
      </c>
      <c r="E43" s="66" t="s">
        <v>1170</v>
      </c>
      <c r="F43" s="66" t="s">
        <v>1171</v>
      </c>
      <c r="G43" s="75" t="b">
        <v>0</v>
      </c>
      <c r="H43" s="75" t="b">
        <v>0</v>
      </c>
      <c r="I43" s="75" t="b">
        <v>0</v>
      </c>
      <c r="J43" s="75" t="b">
        <v>0</v>
      </c>
      <c r="K43" s="75" t="b">
        <v>0</v>
      </c>
      <c r="L43" s="76"/>
      <c r="M43" s="76"/>
      <c r="N43" s="77"/>
    </row>
    <row r="44" spans="2:19" ht="94.5">
      <c r="B44" s="90"/>
      <c r="C44" s="2"/>
      <c r="D44" s="29" t="s">
        <v>1104</v>
      </c>
      <c r="E44" s="66" t="s">
        <v>1172</v>
      </c>
      <c r="F44" s="66" t="s">
        <v>1173</v>
      </c>
      <c r="G44" s="75" t="b">
        <v>0</v>
      </c>
      <c r="H44" s="75" t="b">
        <v>0</v>
      </c>
      <c r="I44" s="75" t="b">
        <v>0</v>
      </c>
      <c r="J44" s="75" t="b">
        <v>0</v>
      </c>
      <c r="K44" s="75" t="b">
        <v>0</v>
      </c>
      <c r="L44" s="76"/>
      <c r="M44" s="76"/>
      <c r="N44" s="77"/>
    </row>
    <row r="45" spans="2:19" ht="94.5">
      <c r="B45" s="90"/>
      <c r="C45" s="2"/>
      <c r="D45" s="29" t="s">
        <v>1104</v>
      </c>
      <c r="E45" s="66" t="s">
        <v>1174</v>
      </c>
      <c r="F45" s="66" t="s">
        <v>1118</v>
      </c>
      <c r="G45" s="75" t="b">
        <v>0</v>
      </c>
      <c r="H45" s="75" t="b">
        <v>0</v>
      </c>
      <c r="I45" s="75" t="b">
        <v>0</v>
      </c>
      <c r="J45" s="75" t="b">
        <v>0</v>
      </c>
      <c r="K45" s="75" t="b">
        <v>0</v>
      </c>
      <c r="L45" s="76"/>
      <c r="M45" s="76"/>
      <c r="N45" s="77"/>
    </row>
    <row r="46" spans="2:19" ht="94.5">
      <c r="B46" s="90"/>
      <c r="C46" s="2"/>
      <c r="D46" s="29" t="s">
        <v>1104</v>
      </c>
      <c r="E46" s="66" t="s">
        <v>1175</v>
      </c>
      <c r="F46" s="66" t="s">
        <v>1176</v>
      </c>
      <c r="G46" s="75" t="b">
        <v>0</v>
      </c>
      <c r="H46" s="75" t="b">
        <v>0</v>
      </c>
      <c r="I46" s="75" t="b">
        <v>0</v>
      </c>
      <c r="J46" s="75" t="b">
        <v>0</v>
      </c>
      <c r="K46" s="75" t="b">
        <v>0</v>
      </c>
      <c r="L46" s="76"/>
      <c r="M46" s="76"/>
      <c r="N46" s="77"/>
    </row>
    <row r="47" spans="2:19" ht="94.5">
      <c r="B47" s="90"/>
      <c r="C47" s="2"/>
      <c r="D47" s="29" t="s">
        <v>1104</v>
      </c>
      <c r="E47" s="66" t="s">
        <v>1177</v>
      </c>
      <c r="F47" s="66" t="s">
        <v>272</v>
      </c>
      <c r="G47" s="75" t="b">
        <v>0</v>
      </c>
      <c r="H47" s="75" t="b">
        <v>0</v>
      </c>
      <c r="I47" s="75" t="b">
        <v>0</v>
      </c>
      <c r="J47" s="75" t="b">
        <v>0</v>
      </c>
      <c r="K47" s="75" t="b">
        <v>0</v>
      </c>
      <c r="L47" s="76"/>
      <c r="M47" s="76"/>
      <c r="N47" s="77"/>
    </row>
    <row r="48" spans="2:19" ht="94.5">
      <c r="B48" s="90"/>
      <c r="C48" s="2"/>
      <c r="D48" s="29" t="s">
        <v>1104</v>
      </c>
      <c r="E48" s="66" t="s">
        <v>1178</v>
      </c>
      <c r="F48" s="66" t="s">
        <v>1179</v>
      </c>
      <c r="G48" s="75" t="b">
        <v>0</v>
      </c>
      <c r="H48" s="75" t="b">
        <v>0</v>
      </c>
      <c r="I48" s="75" t="b">
        <v>0</v>
      </c>
      <c r="J48" s="75" t="b">
        <v>0</v>
      </c>
      <c r="K48" s="75" t="b">
        <v>0</v>
      </c>
      <c r="L48" s="76"/>
      <c r="M48" s="76"/>
      <c r="N48" s="77"/>
    </row>
    <row r="49" spans="2:14" ht="88.5">
      <c r="B49" s="90"/>
      <c r="C49" s="2"/>
      <c r="D49" s="67" t="s">
        <v>1180</v>
      </c>
      <c r="E49" s="66" t="s">
        <v>1181</v>
      </c>
      <c r="F49" s="66" t="s">
        <v>1106</v>
      </c>
      <c r="G49" s="75" t="b">
        <v>0</v>
      </c>
      <c r="H49" s="75" t="b">
        <v>0</v>
      </c>
      <c r="I49" s="75" t="b">
        <v>0</v>
      </c>
      <c r="J49" s="75" t="b">
        <v>0</v>
      </c>
      <c r="K49" s="75" t="b">
        <v>0</v>
      </c>
      <c r="L49" s="76"/>
      <c r="M49" s="76"/>
      <c r="N49" s="77"/>
    </row>
    <row r="50" spans="2:14" ht="88.5">
      <c r="B50" s="90"/>
      <c r="C50" s="2"/>
      <c r="D50" s="67" t="s">
        <v>1180</v>
      </c>
      <c r="E50" s="66" t="s">
        <v>1182</v>
      </c>
      <c r="F50" s="66" t="s">
        <v>1183</v>
      </c>
      <c r="G50" s="75" t="b">
        <v>0</v>
      </c>
      <c r="H50" s="75" t="b">
        <v>0</v>
      </c>
      <c r="I50" s="75" t="b">
        <v>0</v>
      </c>
      <c r="J50" s="75" t="b">
        <v>0</v>
      </c>
      <c r="K50" s="75" t="b">
        <v>0</v>
      </c>
      <c r="L50" s="76"/>
      <c r="M50" s="76"/>
      <c r="N50" s="77"/>
    </row>
    <row r="51" spans="2:14" ht="88.5">
      <c r="B51" s="90"/>
      <c r="C51" s="2"/>
      <c r="D51" s="67" t="s">
        <v>1180</v>
      </c>
      <c r="E51" s="66" t="s">
        <v>1184</v>
      </c>
      <c r="F51" s="66" t="s">
        <v>1185</v>
      </c>
      <c r="G51" s="75" t="b">
        <v>0</v>
      </c>
      <c r="H51" s="75" t="b">
        <v>0</v>
      </c>
      <c r="I51" s="75" t="b">
        <v>0</v>
      </c>
      <c r="J51" s="75" t="b">
        <v>0</v>
      </c>
      <c r="K51" s="75" t="b">
        <v>0</v>
      </c>
      <c r="L51" s="76"/>
      <c r="M51" s="76"/>
      <c r="N51" s="77"/>
    </row>
    <row r="52" spans="2:14" ht="88.5">
      <c r="B52" s="90"/>
      <c r="C52" s="2"/>
      <c r="D52" s="67" t="s">
        <v>1180</v>
      </c>
      <c r="E52" s="66" t="s">
        <v>1186</v>
      </c>
      <c r="F52" s="66" t="s">
        <v>1187</v>
      </c>
      <c r="G52" s="75" t="b">
        <v>0</v>
      </c>
      <c r="H52" s="75" t="b">
        <v>0</v>
      </c>
      <c r="I52" s="75" t="b">
        <v>0</v>
      </c>
      <c r="J52" s="75" t="b">
        <v>0</v>
      </c>
      <c r="K52" s="75" t="b">
        <v>0</v>
      </c>
      <c r="L52" s="76"/>
      <c r="M52" s="76"/>
      <c r="N52" s="77"/>
    </row>
    <row r="53" spans="2:14" ht="88.5">
      <c r="B53" s="90"/>
      <c r="C53" s="2"/>
      <c r="D53" s="67" t="s">
        <v>1180</v>
      </c>
      <c r="E53" s="66" t="s">
        <v>1188</v>
      </c>
      <c r="F53" s="66" t="s">
        <v>1118</v>
      </c>
      <c r="G53" s="75" t="b">
        <v>0</v>
      </c>
      <c r="H53" s="75" t="b">
        <v>0</v>
      </c>
      <c r="I53" s="75" t="b">
        <v>0</v>
      </c>
      <c r="J53" s="75" t="b">
        <v>0</v>
      </c>
      <c r="K53" s="75" t="b">
        <v>0</v>
      </c>
      <c r="L53" s="76"/>
      <c r="M53" s="76"/>
      <c r="N53" s="77"/>
    </row>
    <row r="54" spans="2:14" ht="88.5">
      <c r="B54" s="90"/>
      <c r="C54" s="2"/>
      <c r="D54" s="67" t="s">
        <v>1180</v>
      </c>
      <c r="E54" s="66" t="s">
        <v>1189</v>
      </c>
      <c r="F54" s="66" t="s">
        <v>1190</v>
      </c>
      <c r="G54" s="75" t="b">
        <v>0</v>
      </c>
      <c r="H54" s="75" t="b">
        <v>0</v>
      </c>
      <c r="I54" s="75" t="b">
        <v>0</v>
      </c>
      <c r="J54" s="75" t="b">
        <v>0</v>
      </c>
      <c r="K54" s="75" t="b">
        <v>0</v>
      </c>
      <c r="L54" s="76"/>
      <c r="M54" s="76"/>
      <c r="N54" s="77"/>
    </row>
    <row r="55" spans="2:14" ht="88.5">
      <c r="B55" s="90"/>
      <c r="C55" s="2"/>
      <c r="D55" s="67" t="s">
        <v>1180</v>
      </c>
      <c r="E55" s="66" t="s">
        <v>1191</v>
      </c>
      <c r="F55" s="66" t="s">
        <v>1192</v>
      </c>
      <c r="G55" s="75" t="b">
        <v>0</v>
      </c>
      <c r="H55" s="75" t="b">
        <v>0</v>
      </c>
      <c r="I55" s="75" t="b">
        <v>0</v>
      </c>
      <c r="J55" s="75" t="b">
        <v>0</v>
      </c>
      <c r="K55" s="75" t="b">
        <v>0</v>
      </c>
      <c r="L55" s="76"/>
      <c r="M55" s="76"/>
      <c r="N55" s="77"/>
    </row>
    <row r="56" spans="2:14" ht="88.5">
      <c r="B56" s="90"/>
      <c r="C56" s="2"/>
      <c r="D56" s="67" t="s">
        <v>1180</v>
      </c>
      <c r="E56" s="66" t="s">
        <v>1193</v>
      </c>
      <c r="F56" s="66" t="s">
        <v>1145</v>
      </c>
      <c r="G56" s="75" t="b">
        <v>0</v>
      </c>
      <c r="H56" s="75" t="b">
        <v>0</v>
      </c>
      <c r="I56" s="75" t="b">
        <v>0</v>
      </c>
      <c r="J56" s="75" t="b">
        <v>0</v>
      </c>
      <c r="K56" s="75" t="b">
        <v>0</v>
      </c>
      <c r="L56" s="76"/>
      <c r="M56" s="76"/>
      <c r="N56" s="77"/>
    </row>
    <row r="57" spans="2:14" ht="88.5">
      <c r="B57" s="90"/>
      <c r="C57" s="2"/>
      <c r="D57" s="67" t="s">
        <v>1180</v>
      </c>
      <c r="E57" s="66" t="s">
        <v>1194</v>
      </c>
      <c r="F57" s="66" t="s">
        <v>1195</v>
      </c>
      <c r="G57" s="75" t="b">
        <v>0</v>
      </c>
      <c r="H57" s="75" t="b">
        <v>0</v>
      </c>
      <c r="I57" s="75" t="b">
        <v>0</v>
      </c>
      <c r="J57" s="75" t="b">
        <v>0</v>
      </c>
      <c r="K57" s="75" t="b">
        <v>0</v>
      </c>
      <c r="L57" s="76"/>
      <c r="M57" s="76"/>
      <c r="N57" s="77"/>
    </row>
    <row r="58" spans="2:14" ht="88.5">
      <c r="B58" s="90"/>
      <c r="C58" s="2"/>
      <c r="D58" s="67" t="s">
        <v>1180</v>
      </c>
      <c r="E58" s="66" t="s">
        <v>1196</v>
      </c>
      <c r="F58" s="66" t="s">
        <v>1150</v>
      </c>
      <c r="G58" s="75" t="b">
        <v>0</v>
      </c>
      <c r="H58" s="75" t="b">
        <v>0</v>
      </c>
      <c r="I58" s="75" t="b">
        <v>0</v>
      </c>
      <c r="J58" s="75" t="b">
        <v>0</v>
      </c>
      <c r="K58" s="75" t="b">
        <v>0</v>
      </c>
      <c r="L58" s="76"/>
      <c r="M58" s="76"/>
      <c r="N58" s="77"/>
    </row>
    <row r="59" spans="2:14" ht="88.5">
      <c r="B59" s="90"/>
      <c r="C59" s="2"/>
      <c r="D59" s="67" t="s">
        <v>1180</v>
      </c>
      <c r="E59" s="66" t="s">
        <v>1197</v>
      </c>
      <c r="F59" s="66" t="s">
        <v>1198</v>
      </c>
      <c r="G59" s="75" t="b">
        <v>0</v>
      </c>
      <c r="H59" s="75" t="b">
        <v>0</v>
      </c>
      <c r="I59" s="75" t="b">
        <v>0</v>
      </c>
      <c r="J59" s="75" t="b">
        <v>0</v>
      </c>
      <c r="K59" s="75" t="b">
        <v>0</v>
      </c>
      <c r="L59" s="76"/>
      <c r="M59" s="76"/>
      <c r="N59" s="77"/>
    </row>
    <row r="60" spans="2:14" ht="88.5">
      <c r="B60" s="90"/>
      <c r="C60" s="2"/>
      <c r="D60" s="67" t="s">
        <v>1180</v>
      </c>
      <c r="E60" s="66" t="s">
        <v>1199</v>
      </c>
      <c r="F60" s="66" t="s">
        <v>1200</v>
      </c>
      <c r="G60" s="75" t="b">
        <v>0</v>
      </c>
      <c r="H60" s="75" t="b">
        <v>0</v>
      </c>
      <c r="I60" s="75" t="b">
        <v>0</v>
      </c>
      <c r="J60" s="75" t="b">
        <v>0</v>
      </c>
      <c r="K60" s="75" t="b">
        <v>0</v>
      </c>
      <c r="L60" s="76"/>
      <c r="M60" s="76"/>
      <c r="N60" s="77"/>
    </row>
    <row r="61" spans="2:14" ht="88.5">
      <c r="B61" s="90"/>
      <c r="C61" s="2"/>
      <c r="D61" s="67" t="s">
        <v>1180</v>
      </c>
      <c r="E61" s="66" t="s">
        <v>1201</v>
      </c>
      <c r="F61" s="66" t="s">
        <v>828</v>
      </c>
      <c r="G61" s="75" t="b">
        <v>0</v>
      </c>
      <c r="H61" s="75" t="b">
        <v>0</v>
      </c>
      <c r="I61" s="75" t="b">
        <v>0</v>
      </c>
      <c r="J61" s="75" t="b">
        <v>0</v>
      </c>
      <c r="K61" s="75" t="b">
        <v>0</v>
      </c>
      <c r="L61" s="76"/>
      <c r="M61" s="76"/>
      <c r="N61" s="77"/>
    </row>
    <row r="62" spans="2:14" ht="88.5">
      <c r="B62" s="90"/>
      <c r="C62" s="2"/>
      <c r="D62" s="67" t="s">
        <v>1180</v>
      </c>
      <c r="E62" s="66" t="s">
        <v>1202</v>
      </c>
      <c r="F62" s="66" t="s">
        <v>828</v>
      </c>
      <c r="G62" s="75" t="b">
        <v>0</v>
      </c>
      <c r="H62" s="75" t="b">
        <v>0</v>
      </c>
      <c r="I62" s="75" t="b">
        <v>0</v>
      </c>
      <c r="J62" s="75" t="b">
        <v>0</v>
      </c>
      <c r="K62" s="75" t="b">
        <v>0</v>
      </c>
      <c r="L62" s="76"/>
      <c r="M62" s="76"/>
      <c r="N62" s="77"/>
    </row>
    <row r="63" spans="2:14" ht="88.5">
      <c r="B63" s="90"/>
      <c r="C63" s="2"/>
      <c r="D63" s="67" t="s">
        <v>1180</v>
      </c>
      <c r="E63" s="66" t="s">
        <v>1203</v>
      </c>
      <c r="F63" s="66" t="s">
        <v>1200</v>
      </c>
      <c r="G63" s="75" t="b">
        <v>0</v>
      </c>
      <c r="H63" s="75" t="b">
        <v>0</v>
      </c>
      <c r="I63" s="75" t="b">
        <v>0</v>
      </c>
      <c r="J63" s="75" t="b">
        <v>0</v>
      </c>
      <c r="K63" s="75" t="b">
        <v>0</v>
      </c>
      <c r="L63" s="76"/>
      <c r="M63" s="76"/>
      <c r="N63" s="77"/>
    </row>
    <row r="64" spans="2:14" ht="88.5">
      <c r="B64" s="90"/>
      <c r="C64" s="2"/>
      <c r="D64" s="67" t="s">
        <v>1180</v>
      </c>
      <c r="E64" s="66" t="s">
        <v>1204</v>
      </c>
      <c r="F64" s="66" t="s">
        <v>1205</v>
      </c>
      <c r="G64" s="75" t="b">
        <v>0</v>
      </c>
      <c r="H64" s="75" t="b">
        <v>0</v>
      </c>
      <c r="I64" s="75" t="b">
        <v>0</v>
      </c>
      <c r="J64" s="75" t="b">
        <v>0</v>
      </c>
      <c r="K64" s="75" t="b">
        <v>0</v>
      </c>
      <c r="L64" s="76"/>
      <c r="M64" s="76"/>
      <c r="N64" s="77"/>
    </row>
    <row r="65" spans="2:14" ht="88.5">
      <c r="B65" s="90"/>
      <c r="C65" s="2"/>
      <c r="D65" s="67" t="s">
        <v>1180</v>
      </c>
      <c r="E65" s="66" t="s">
        <v>1206</v>
      </c>
      <c r="F65" s="66" t="s">
        <v>1207</v>
      </c>
      <c r="G65" s="75" t="b">
        <v>0</v>
      </c>
      <c r="H65" s="75" t="b">
        <v>0</v>
      </c>
      <c r="I65" s="75" t="b">
        <v>0</v>
      </c>
      <c r="J65" s="75" t="b">
        <v>0</v>
      </c>
      <c r="K65" s="75" t="b">
        <v>0</v>
      </c>
      <c r="L65" s="76"/>
      <c r="M65" s="76"/>
      <c r="N65" s="77"/>
    </row>
    <row r="66" spans="2:14" ht="88.5">
      <c r="B66" s="90"/>
      <c r="C66" s="2"/>
      <c r="D66" s="67" t="s">
        <v>1180</v>
      </c>
      <c r="E66" s="66" t="s">
        <v>1208</v>
      </c>
      <c r="F66" s="66" t="s">
        <v>1106</v>
      </c>
      <c r="G66" s="75" t="b">
        <v>0</v>
      </c>
      <c r="H66" s="75" t="b">
        <v>0</v>
      </c>
      <c r="I66" s="75" t="b">
        <v>0</v>
      </c>
      <c r="J66" s="75" t="b">
        <v>0</v>
      </c>
      <c r="K66" s="75" t="b">
        <v>0</v>
      </c>
      <c r="L66" s="76"/>
      <c r="M66" s="76"/>
      <c r="N66" s="77"/>
    </row>
    <row r="67" spans="2:14" ht="88.5">
      <c r="B67" s="90"/>
      <c r="C67" s="2"/>
      <c r="D67" s="67" t="s">
        <v>1180</v>
      </c>
      <c r="E67" s="66" t="s">
        <v>1209</v>
      </c>
      <c r="F67" s="66" t="s">
        <v>1210</v>
      </c>
      <c r="G67" s="75" t="b">
        <v>0</v>
      </c>
      <c r="H67" s="75" t="b">
        <v>0</v>
      </c>
      <c r="I67" s="75" t="b">
        <v>0</v>
      </c>
      <c r="J67" s="75" t="b">
        <v>0</v>
      </c>
      <c r="K67" s="75" t="b">
        <v>0</v>
      </c>
      <c r="L67" s="76"/>
      <c r="M67" s="76"/>
      <c r="N67" s="77"/>
    </row>
    <row r="68" spans="2:14" ht="88.5">
      <c r="B68" s="90"/>
      <c r="C68" s="2"/>
      <c r="D68" s="67" t="s">
        <v>1180</v>
      </c>
      <c r="E68" s="66" t="s">
        <v>1211</v>
      </c>
      <c r="F68" s="66" t="s">
        <v>272</v>
      </c>
      <c r="G68" s="75" t="b">
        <v>0</v>
      </c>
      <c r="H68" s="75" t="b">
        <v>0</v>
      </c>
      <c r="I68" s="75" t="b">
        <v>0</v>
      </c>
      <c r="J68" s="75" t="b">
        <v>0</v>
      </c>
      <c r="K68" s="75" t="b">
        <v>0</v>
      </c>
      <c r="L68" s="76"/>
      <c r="M68" s="76"/>
      <c r="N68" s="77"/>
    </row>
    <row r="69" spans="2:14" ht="88.5">
      <c r="B69" s="90"/>
      <c r="C69" s="2"/>
      <c r="D69" s="67" t="s">
        <v>1180</v>
      </c>
      <c r="E69" s="66" t="s">
        <v>1212</v>
      </c>
      <c r="F69" s="66" t="s">
        <v>1213</v>
      </c>
      <c r="G69" s="75" t="b">
        <v>0</v>
      </c>
      <c r="H69" s="75" t="b">
        <v>0</v>
      </c>
      <c r="I69" s="75" t="b">
        <v>0</v>
      </c>
      <c r="J69" s="75" t="b">
        <v>0</v>
      </c>
      <c r="K69" s="75" t="b">
        <v>0</v>
      </c>
      <c r="L69" s="76"/>
      <c r="M69" s="76"/>
      <c r="N69" s="77"/>
    </row>
    <row r="70" spans="2:14" ht="88.5">
      <c r="B70" s="91"/>
      <c r="C70" s="3"/>
      <c r="D70" s="70" t="s">
        <v>1180</v>
      </c>
      <c r="E70" s="71" t="s">
        <v>1214</v>
      </c>
      <c r="F70" s="71" t="s">
        <v>272</v>
      </c>
      <c r="G70" s="78" t="b">
        <v>0</v>
      </c>
      <c r="H70" s="78" t="b">
        <v>0</v>
      </c>
      <c r="I70" s="78" t="b">
        <v>0</v>
      </c>
      <c r="J70" s="78" t="b">
        <v>0</v>
      </c>
      <c r="K70" s="78" t="b">
        <v>0</v>
      </c>
      <c r="L70" s="79"/>
      <c r="M70" s="79"/>
      <c r="N70" s="80"/>
    </row>
    <row r="71" spans="2:14">
      <c r="L71">
        <f>SUM(L6:L70)</f>
        <v>0</v>
      </c>
      <c r="M71">
        <f>SUM(M6:M70)</f>
        <v>0</v>
      </c>
      <c r="N71">
        <f>SUM(N6:N70)</f>
        <v>0</v>
      </c>
    </row>
  </sheetData>
  <mergeCells count="1">
    <mergeCell ref="B2:C2"/>
  </mergeCells>
  <conditionalFormatting sqref="B6:N70">
    <cfRule type="expression" dxfId="22" priority="2">
      <formula>MOD(ROW(),2)=1</formula>
    </cfRule>
  </conditionalFormatting>
  <conditionalFormatting sqref="S7:S39">
    <cfRule type="expression" dxfId="21" priority="1">
      <formula>MOD(ROW(),2)=1</formula>
    </cfRule>
  </conditionalFormatting>
  <dataValidations count="1">
    <dataValidation type="list" allowBlank="1" showInputMessage="1" showErrorMessage="1" sqref="C1 C3:C1048576" xr:uid="{7C566551-D766-42C7-9EF8-0C5A88FCEEFE}">
      <formula1>$S$7:$S$19</formula1>
    </dataValidation>
  </dataValidations>
  <hyperlinks>
    <hyperlink ref="B2:C2" location="MENU" display="MENU" xr:uid="{B823063E-4E78-45EB-953F-06696D62936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C3DF-C0C5-4796-88C9-207CCAA3B2BB}">
  <dimension ref="B2:N28"/>
  <sheetViews>
    <sheetView workbookViewId="0">
      <selection activeCell="O5" sqref="O5"/>
    </sheetView>
  </sheetViews>
  <sheetFormatPr defaultRowHeight="15"/>
  <cols>
    <col min="2" max="2" width="16" style="92" customWidth="1"/>
    <col min="3" max="3" width="14.28515625" customWidth="1"/>
    <col min="4" max="4" width="25.42578125" customWidth="1"/>
    <col min="5" max="5" width="12.42578125" customWidth="1"/>
    <col min="6" max="6" width="12" customWidth="1"/>
    <col min="7" max="7" width="17.85546875" customWidth="1"/>
    <col min="8" max="8" width="12.140625" customWidth="1"/>
    <col min="9" max="9" width="12" customWidth="1"/>
    <col min="10" max="10" width="19" customWidth="1"/>
    <col min="11" max="11" width="13.85546875" customWidth="1"/>
    <col min="19" max="19" width="0" hidden="1" customWidth="1"/>
  </cols>
  <sheetData>
    <row r="2" spans="2:14" ht="46.5">
      <c r="B2" s="211" t="s">
        <v>30</v>
      </c>
      <c r="C2" s="211"/>
    </row>
    <row r="5" spans="2:14" ht="93.75" customHeight="1">
      <c r="B5" s="93" t="s">
        <v>31</v>
      </c>
      <c r="C5" s="47" t="s">
        <v>32</v>
      </c>
      <c r="D5" s="47" t="s">
        <v>1103</v>
      </c>
      <c r="E5" s="21" t="s">
        <v>1082</v>
      </c>
      <c r="F5" s="21" t="s">
        <v>34</v>
      </c>
      <c r="G5" s="22" t="s">
        <v>25</v>
      </c>
      <c r="H5" s="22" t="s">
        <v>29</v>
      </c>
      <c r="I5" s="22" t="s">
        <v>35</v>
      </c>
      <c r="J5" s="22" t="s">
        <v>36</v>
      </c>
      <c r="K5" s="22" t="s">
        <v>37</v>
      </c>
      <c r="L5" s="23" t="s">
        <v>2</v>
      </c>
      <c r="M5" s="23" t="s">
        <v>3</v>
      </c>
      <c r="N5" s="24" t="s">
        <v>4</v>
      </c>
    </row>
    <row r="6" spans="2:14" ht="50.25" customHeight="1">
      <c r="B6" s="90"/>
      <c r="C6" s="2"/>
      <c r="D6" s="67" t="s">
        <v>1180</v>
      </c>
      <c r="E6" s="66" t="s">
        <v>1181</v>
      </c>
      <c r="F6" s="66" t="s">
        <v>1106</v>
      </c>
      <c r="G6" s="75" t="b">
        <v>0</v>
      </c>
      <c r="H6" s="75" t="b">
        <v>0</v>
      </c>
      <c r="I6" s="75" t="b">
        <v>0</v>
      </c>
      <c r="J6" s="75" t="b">
        <v>0</v>
      </c>
      <c r="K6" s="75" t="b">
        <v>0</v>
      </c>
      <c r="L6" s="76"/>
      <c r="M6" s="76"/>
      <c r="N6" s="77"/>
    </row>
    <row r="7" spans="2:14" ht="60">
      <c r="B7" s="90"/>
      <c r="C7" s="2"/>
      <c r="D7" s="67" t="s">
        <v>1180</v>
      </c>
      <c r="E7" s="66" t="s">
        <v>1182</v>
      </c>
      <c r="F7" s="66" t="s">
        <v>1183</v>
      </c>
      <c r="G7" s="75" t="b">
        <v>0</v>
      </c>
      <c r="H7" s="75" t="b">
        <v>0</v>
      </c>
      <c r="I7" s="75" t="b">
        <v>0</v>
      </c>
      <c r="J7" s="75" t="b">
        <v>0</v>
      </c>
      <c r="K7" s="75" t="b">
        <v>0</v>
      </c>
      <c r="L7" s="76"/>
      <c r="M7" s="76"/>
      <c r="N7" s="77"/>
    </row>
    <row r="8" spans="2:14" ht="50.25" customHeight="1">
      <c r="B8" s="90"/>
      <c r="C8" s="2"/>
      <c r="D8" s="67" t="s">
        <v>1180</v>
      </c>
      <c r="E8" s="66" t="s">
        <v>1184</v>
      </c>
      <c r="F8" s="66" t="s">
        <v>1185</v>
      </c>
      <c r="G8" s="75" t="b">
        <v>0</v>
      </c>
      <c r="H8" s="75" t="b">
        <v>0</v>
      </c>
      <c r="I8" s="75" t="b">
        <v>0</v>
      </c>
      <c r="J8" s="75" t="b">
        <v>0</v>
      </c>
      <c r="K8" s="75" t="b">
        <v>0</v>
      </c>
      <c r="L8" s="76"/>
      <c r="M8" s="76"/>
      <c r="N8" s="77"/>
    </row>
    <row r="9" spans="2:14" ht="50.25" customHeight="1">
      <c r="B9" s="90"/>
      <c r="C9" s="2"/>
      <c r="D9" s="67" t="s">
        <v>1180</v>
      </c>
      <c r="E9" s="66" t="s">
        <v>1186</v>
      </c>
      <c r="F9" s="66" t="s">
        <v>1187</v>
      </c>
      <c r="G9" s="75" t="b">
        <v>0</v>
      </c>
      <c r="H9" s="75" t="b">
        <v>0</v>
      </c>
      <c r="I9" s="75" t="b">
        <v>0</v>
      </c>
      <c r="J9" s="75" t="b">
        <v>0</v>
      </c>
      <c r="K9" s="75" t="b">
        <v>0</v>
      </c>
      <c r="L9" s="76"/>
      <c r="M9" s="76"/>
      <c r="N9" s="77"/>
    </row>
    <row r="10" spans="2:14" ht="50.25" customHeight="1">
      <c r="B10" s="90"/>
      <c r="C10" s="2"/>
      <c r="D10" s="67" t="s">
        <v>1180</v>
      </c>
      <c r="E10" s="66" t="s">
        <v>1188</v>
      </c>
      <c r="F10" s="66" t="s">
        <v>1118</v>
      </c>
      <c r="G10" s="75" t="b">
        <v>0</v>
      </c>
      <c r="H10" s="75" t="b">
        <v>0</v>
      </c>
      <c r="I10" s="75" t="b">
        <v>0</v>
      </c>
      <c r="J10" s="75" t="b">
        <v>0</v>
      </c>
      <c r="K10" s="75" t="b">
        <v>0</v>
      </c>
      <c r="L10" s="76"/>
      <c r="M10" s="76"/>
      <c r="N10" s="77"/>
    </row>
    <row r="11" spans="2:14" ht="50.25" customHeight="1">
      <c r="B11" s="90"/>
      <c r="C11" s="2"/>
      <c r="D11" s="67" t="s">
        <v>1180</v>
      </c>
      <c r="E11" s="66" t="s">
        <v>1189</v>
      </c>
      <c r="F11" s="66" t="s">
        <v>1190</v>
      </c>
      <c r="G11" s="75" t="b">
        <v>0</v>
      </c>
      <c r="H11" s="75" t="b">
        <v>0</v>
      </c>
      <c r="I11" s="75" t="b">
        <v>0</v>
      </c>
      <c r="J11" s="75" t="b">
        <v>0</v>
      </c>
      <c r="K11" s="75" t="b">
        <v>0</v>
      </c>
      <c r="L11" s="76"/>
      <c r="M11" s="76"/>
      <c r="N11" s="77"/>
    </row>
    <row r="12" spans="2:14" ht="50.25" customHeight="1">
      <c r="B12" s="90"/>
      <c r="C12" s="2"/>
      <c r="D12" s="67" t="s">
        <v>1180</v>
      </c>
      <c r="E12" s="66" t="s">
        <v>1191</v>
      </c>
      <c r="F12" s="66" t="s">
        <v>1192</v>
      </c>
      <c r="G12" s="75" t="b">
        <v>0</v>
      </c>
      <c r="H12" s="75" t="b">
        <v>0</v>
      </c>
      <c r="I12" s="75" t="b">
        <v>0</v>
      </c>
      <c r="J12" s="75" t="b">
        <v>0</v>
      </c>
      <c r="K12" s="75" t="b">
        <v>0</v>
      </c>
      <c r="L12" s="76"/>
      <c r="M12" s="76"/>
      <c r="N12" s="77"/>
    </row>
    <row r="13" spans="2:14" ht="50.25" customHeight="1">
      <c r="B13" s="90"/>
      <c r="C13" s="2"/>
      <c r="D13" s="67" t="s">
        <v>1180</v>
      </c>
      <c r="E13" s="66" t="s">
        <v>1193</v>
      </c>
      <c r="F13" s="66" t="s">
        <v>1145</v>
      </c>
      <c r="G13" s="75" t="b">
        <v>0</v>
      </c>
      <c r="H13" s="75" t="b">
        <v>0</v>
      </c>
      <c r="I13" s="75" t="b">
        <v>0</v>
      </c>
      <c r="J13" s="75" t="b">
        <v>0</v>
      </c>
      <c r="K13" s="75" t="b">
        <v>0</v>
      </c>
      <c r="L13" s="76"/>
      <c r="M13" s="76"/>
      <c r="N13" s="77"/>
    </row>
    <row r="14" spans="2:14" ht="50.25" customHeight="1">
      <c r="B14" s="90"/>
      <c r="C14" s="2"/>
      <c r="D14" s="67" t="s">
        <v>1180</v>
      </c>
      <c r="E14" s="66" t="s">
        <v>1194</v>
      </c>
      <c r="F14" s="66" t="s">
        <v>1195</v>
      </c>
      <c r="G14" s="75" t="b">
        <v>0</v>
      </c>
      <c r="H14" s="75" t="b">
        <v>0</v>
      </c>
      <c r="I14" s="75" t="b">
        <v>0</v>
      </c>
      <c r="J14" s="75" t="b">
        <v>0</v>
      </c>
      <c r="K14" s="75" t="b">
        <v>0</v>
      </c>
      <c r="L14" s="76"/>
      <c r="M14" s="76"/>
      <c r="N14" s="77"/>
    </row>
    <row r="15" spans="2:14" ht="50.25" customHeight="1">
      <c r="B15" s="90"/>
      <c r="C15" s="2"/>
      <c r="D15" s="67" t="s">
        <v>1180</v>
      </c>
      <c r="E15" s="66" t="s">
        <v>1196</v>
      </c>
      <c r="F15" s="66" t="s">
        <v>1150</v>
      </c>
      <c r="G15" s="75" t="b">
        <v>0</v>
      </c>
      <c r="H15" s="75" t="b">
        <v>0</v>
      </c>
      <c r="I15" s="75" t="b">
        <v>0</v>
      </c>
      <c r="J15" s="75" t="b">
        <v>0</v>
      </c>
      <c r="K15" s="75" t="b">
        <v>0</v>
      </c>
      <c r="L15" s="76"/>
      <c r="M15" s="76"/>
      <c r="N15" s="77"/>
    </row>
    <row r="16" spans="2:14" ht="50.25" customHeight="1">
      <c r="B16" s="90"/>
      <c r="C16" s="2"/>
      <c r="D16" s="67" t="s">
        <v>1180</v>
      </c>
      <c r="E16" s="66" t="s">
        <v>1197</v>
      </c>
      <c r="F16" s="66" t="s">
        <v>1198</v>
      </c>
      <c r="G16" s="75" t="b">
        <v>0</v>
      </c>
      <c r="H16" s="75" t="b">
        <v>0</v>
      </c>
      <c r="I16" s="75" t="b">
        <v>0</v>
      </c>
      <c r="J16" s="75" t="b">
        <v>0</v>
      </c>
      <c r="K16" s="75" t="b">
        <v>0</v>
      </c>
      <c r="L16" s="76"/>
      <c r="M16" s="76"/>
      <c r="N16" s="77"/>
    </row>
    <row r="17" spans="2:14" ht="50.25" customHeight="1">
      <c r="B17" s="90"/>
      <c r="C17" s="2"/>
      <c r="D17" s="67" t="s">
        <v>1180</v>
      </c>
      <c r="E17" s="66" t="s">
        <v>1199</v>
      </c>
      <c r="F17" s="66" t="s">
        <v>1200</v>
      </c>
      <c r="G17" s="75" t="b">
        <v>0</v>
      </c>
      <c r="H17" s="75" t="b">
        <v>0</v>
      </c>
      <c r="I17" s="75" t="b">
        <v>0</v>
      </c>
      <c r="J17" s="75" t="b">
        <v>0</v>
      </c>
      <c r="K17" s="75" t="b">
        <v>0</v>
      </c>
      <c r="L17" s="76"/>
      <c r="M17" s="76"/>
      <c r="N17" s="77"/>
    </row>
    <row r="18" spans="2:14" ht="50.25" customHeight="1">
      <c r="B18" s="90"/>
      <c r="C18" s="2"/>
      <c r="D18" s="67" t="s">
        <v>1180</v>
      </c>
      <c r="E18" s="66" t="s">
        <v>1201</v>
      </c>
      <c r="F18" s="66" t="s">
        <v>828</v>
      </c>
      <c r="G18" s="75" t="b">
        <v>0</v>
      </c>
      <c r="H18" s="75" t="b">
        <v>0</v>
      </c>
      <c r="I18" s="75" t="b">
        <v>0</v>
      </c>
      <c r="J18" s="75" t="b">
        <v>0</v>
      </c>
      <c r="K18" s="75" t="b">
        <v>0</v>
      </c>
      <c r="L18" s="76"/>
      <c r="M18" s="76"/>
      <c r="N18" s="77"/>
    </row>
    <row r="19" spans="2:14" ht="50.25" customHeight="1">
      <c r="B19" s="90"/>
      <c r="C19" s="2"/>
      <c r="D19" s="67" t="s">
        <v>1180</v>
      </c>
      <c r="E19" s="66" t="s">
        <v>1202</v>
      </c>
      <c r="F19" s="66" t="s">
        <v>828</v>
      </c>
      <c r="G19" s="75" t="b">
        <v>0</v>
      </c>
      <c r="H19" s="75" t="b">
        <v>0</v>
      </c>
      <c r="I19" s="75" t="b">
        <v>0</v>
      </c>
      <c r="J19" s="75" t="b">
        <v>0</v>
      </c>
      <c r="K19" s="75" t="b">
        <v>0</v>
      </c>
      <c r="L19" s="76"/>
      <c r="M19" s="76"/>
      <c r="N19" s="77"/>
    </row>
    <row r="20" spans="2:14" ht="50.25" customHeight="1">
      <c r="B20" s="90"/>
      <c r="C20" s="2"/>
      <c r="D20" s="67" t="s">
        <v>1180</v>
      </c>
      <c r="E20" s="66" t="s">
        <v>1203</v>
      </c>
      <c r="F20" s="66" t="s">
        <v>1200</v>
      </c>
      <c r="G20" s="75" t="b">
        <v>0</v>
      </c>
      <c r="H20" s="75" t="b">
        <v>0</v>
      </c>
      <c r="I20" s="75" t="b">
        <v>0</v>
      </c>
      <c r="J20" s="75" t="b">
        <v>0</v>
      </c>
      <c r="K20" s="75" t="b">
        <v>0</v>
      </c>
      <c r="L20" s="76"/>
      <c r="M20" s="76"/>
      <c r="N20" s="77"/>
    </row>
    <row r="21" spans="2:14" ht="50.25" customHeight="1">
      <c r="B21" s="90"/>
      <c r="C21" s="2"/>
      <c r="D21" s="67" t="s">
        <v>1180</v>
      </c>
      <c r="E21" s="66" t="s">
        <v>1204</v>
      </c>
      <c r="F21" s="66" t="s">
        <v>1205</v>
      </c>
      <c r="G21" s="75" t="b">
        <v>0</v>
      </c>
      <c r="H21" s="75" t="b">
        <v>0</v>
      </c>
      <c r="I21" s="75" t="b">
        <v>0</v>
      </c>
      <c r="J21" s="75" t="b">
        <v>0</v>
      </c>
      <c r="K21" s="75" t="b">
        <v>0</v>
      </c>
      <c r="L21" s="76"/>
      <c r="M21" s="76"/>
      <c r="N21" s="77"/>
    </row>
    <row r="22" spans="2:14" ht="50.25" customHeight="1">
      <c r="B22" s="90"/>
      <c r="C22" s="2"/>
      <c r="D22" s="67" t="s">
        <v>1180</v>
      </c>
      <c r="E22" s="66" t="s">
        <v>1206</v>
      </c>
      <c r="F22" s="66" t="s">
        <v>1207</v>
      </c>
      <c r="G22" s="75" t="b">
        <v>0</v>
      </c>
      <c r="H22" s="75" t="b">
        <v>0</v>
      </c>
      <c r="I22" s="75" t="b">
        <v>0</v>
      </c>
      <c r="J22" s="75" t="b">
        <v>0</v>
      </c>
      <c r="K22" s="75" t="b">
        <v>0</v>
      </c>
      <c r="L22" s="76"/>
      <c r="M22" s="76"/>
      <c r="N22" s="77"/>
    </row>
    <row r="23" spans="2:14" ht="50.25" customHeight="1">
      <c r="B23" s="90"/>
      <c r="C23" s="2"/>
      <c r="D23" s="67" t="s">
        <v>1180</v>
      </c>
      <c r="E23" s="66" t="s">
        <v>1208</v>
      </c>
      <c r="F23" s="66" t="s">
        <v>1106</v>
      </c>
      <c r="G23" s="75" t="b">
        <v>0</v>
      </c>
      <c r="H23" s="75" t="b">
        <v>0</v>
      </c>
      <c r="I23" s="75" t="b">
        <v>0</v>
      </c>
      <c r="J23" s="75" t="b">
        <v>0</v>
      </c>
      <c r="K23" s="75" t="b">
        <v>0</v>
      </c>
      <c r="L23" s="76"/>
      <c r="M23" s="76"/>
      <c r="N23" s="77"/>
    </row>
    <row r="24" spans="2:14" ht="50.25" customHeight="1">
      <c r="B24" s="90"/>
      <c r="C24" s="2"/>
      <c r="D24" s="67" t="s">
        <v>1180</v>
      </c>
      <c r="E24" s="66" t="s">
        <v>1209</v>
      </c>
      <c r="F24" s="66" t="s">
        <v>1210</v>
      </c>
      <c r="G24" s="75" t="b">
        <v>0</v>
      </c>
      <c r="H24" s="75" t="b">
        <v>0</v>
      </c>
      <c r="I24" s="75" t="b">
        <v>0</v>
      </c>
      <c r="J24" s="75" t="b">
        <v>0</v>
      </c>
      <c r="K24" s="75" t="b">
        <v>0</v>
      </c>
      <c r="L24" s="76"/>
      <c r="M24" s="76"/>
      <c r="N24" s="77"/>
    </row>
    <row r="25" spans="2:14" ht="50.25" customHeight="1">
      <c r="B25" s="90"/>
      <c r="C25" s="2"/>
      <c r="D25" s="67" t="s">
        <v>1180</v>
      </c>
      <c r="E25" s="66" t="s">
        <v>1211</v>
      </c>
      <c r="F25" s="66" t="s">
        <v>272</v>
      </c>
      <c r="G25" s="75" t="b">
        <v>0</v>
      </c>
      <c r="H25" s="75" t="b">
        <v>0</v>
      </c>
      <c r="I25" s="75" t="b">
        <v>0</v>
      </c>
      <c r="J25" s="75" t="b">
        <v>0</v>
      </c>
      <c r="K25" s="75" t="b">
        <v>0</v>
      </c>
      <c r="L25" s="76"/>
      <c r="M25" s="76"/>
      <c r="N25" s="77"/>
    </row>
    <row r="26" spans="2:14" ht="50.25" customHeight="1">
      <c r="B26" s="90"/>
      <c r="C26" s="2"/>
      <c r="D26" s="67" t="s">
        <v>1180</v>
      </c>
      <c r="E26" s="66" t="s">
        <v>1212</v>
      </c>
      <c r="F26" s="66" t="s">
        <v>1213</v>
      </c>
      <c r="G26" s="75" t="b">
        <v>0</v>
      </c>
      <c r="H26" s="75" t="b">
        <v>0</v>
      </c>
      <c r="I26" s="75" t="b">
        <v>0</v>
      </c>
      <c r="J26" s="75" t="b">
        <v>0</v>
      </c>
      <c r="K26" s="75" t="b">
        <v>0</v>
      </c>
      <c r="L26" s="76"/>
      <c r="M26" s="76"/>
      <c r="N26" s="77"/>
    </row>
    <row r="27" spans="2:14" ht="50.25" customHeight="1">
      <c r="B27" s="91"/>
      <c r="C27" s="3"/>
      <c r="D27" s="70" t="s">
        <v>1180</v>
      </c>
      <c r="E27" s="71" t="s">
        <v>1214</v>
      </c>
      <c r="F27" s="71" t="s">
        <v>272</v>
      </c>
      <c r="G27" s="78" t="b">
        <v>0</v>
      </c>
      <c r="H27" s="78" t="b">
        <v>0</v>
      </c>
      <c r="I27" s="78" t="b">
        <v>0</v>
      </c>
      <c r="J27" s="78" t="b">
        <v>0</v>
      </c>
      <c r="K27" s="78" t="b">
        <v>0</v>
      </c>
      <c r="L27" s="79"/>
      <c r="M27" s="79"/>
      <c r="N27" s="80"/>
    </row>
    <row r="28" spans="2:14">
      <c r="L28">
        <f>SUM(L6:L27)</f>
        <v>0</v>
      </c>
      <c r="M28">
        <f>SUM(M6:M27)</f>
        <v>0</v>
      </c>
      <c r="N28">
        <f>SUM(N6:N27)</f>
        <v>0</v>
      </c>
    </row>
  </sheetData>
  <mergeCells count="1">
    <mergeCell ref="B2:C2"/>
  </mergeCells>
  <conditionalFormatting sqref="B6:N27">
    <cfRule type="expression" dxfId="20" priority="2">
      <formula>MOD(ROW(),2)=1</formula>
    </cfRule>
  </conditionalFormatting>
  <dataValidations count="1">
    <dataValidation type="list" allowBlank="1" showInputMessage="1" showErrorMessage="1" sqref="C1 C3:C1048576" xr:uid="{363C6966-00EA-4507-AF86-97797BDB1A1D}">
      <formula1>#REF!</formula1>
    </dataValidation>
  </dataValidations>
  <hyperlinks>
    <hyperlink ref="B2:C2" location="MENU" display="MENU" xr:uid="{946F65DC-0BF0-4F1D-BD71-54C22A1FE40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1EB5-B559-40A9-9997-D6AF3049A38E}">
  <dimension ref="B2:S22"/>
  <sheetViews>
    <sheetView workbookViewId="0">
      <selection activeCell="E2" sqref="E2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80.25" customHeight="1">
      <c r="C8" s="95"/>
      <c r="D8" s="12"/>
      <c r="E8" s="67" t="s">
        <v>1215</v>
      </c>
      <c r="F8" s="66" t="s">
        <v>1216</v>
      </c>
      <c r="G8" s="66" t="s">
        <v>1217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</row>
    <row r="9" spans="2:19" ht="80.25" customHeight="1">
      <c r="C9" s="95"/>
      <c r="D9" s="12"/>
      <c r="E9" s="67" t="s">
        <v>1215</v>
      </c>
      <c r="F9" s="66" t="s">
        <v>1218</v>
      </c>
      <c r="G9" s="66" t="s">
        <v>1106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</row>
    <row r="10" spans="2:19" ht="80.25" customHeight="1">
      <c r="C10" s="95"/>
      <c r="D10" s="12"/>
      <c r="E10" s="67" t="s">
        <v>1215</v>
      </c>
      <c r="F10" s="66" t="s">
        <v>1219</v>
      </c>
      <c r="G10" s="66" t="s">
        <v>1220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</row>
    <row r="11" spans="2:19" ht="80.25" customHeight="1">
      <c r="C11" s="95"/>
      <c r="D11" s="12"/>
      <c r="E11" s="67" t="s">
        <v>1215</v>
      </c>
      <c r="F11" s="66" t="s">
        <v>1221</v>
      </c>
      <c r="G11" s="66" t="s">
        <v>1222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</row>
    <row r="12" spans="2:19" ht="80.25" customHeight="1">
      <c r="C12" s="95"/>
      <c r="D12" s="12"/>
      <c r="E12" s="67" t="s">
        <v>1215</v>
      </c>
      <c r="F12" s="66" t="s">
        <v>1223</v>
      </c>
      <c r="G12" s="66" t="s">
        <v>1224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</row>
    <row r="13" spans="2:19" ht="80.25" customHeight="1">
      <c r="C13" s="95"/>
      <c r="D13" s="12"/>
      <c r="E13" s="67" t="s">
        <v>1215</v>
      </c>
      <c r="F13" s="66" t="s">
        <v>1225</v>
      </c>
      <c r="G13" s="66" t="s">
        <v>1226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</row>
    <row r="14" spans="2:19" ht="80.25" customHeight="1">
      <c r="C14" s="95"/>
      <c r="D14" s="12"/>
      <c r="E14" s="67" t="s">
        <v>1215</v>
      </c>
      <c r="F14" s="66" t="s">
        <v>906</v>
      </c>
      <c r="G14" s="66" t="s">
        <v>1227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80.25" customHeight="1">
      <c r="C15" s="95"/>
      <c r="D15" s="12"/>
      <c r="E15" s="67" t="s">
        <v>1215</v>
      </c>
      <c r="F15" s="66" t="s">
        <v>1228</v>
      </c>
      <c r="G15" s="66" t="s">
        <v>1222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 ht="80.25" customHeight="1">
      <c r="C16" s="95"/>
      <c r="D16" s="12"/>
      <c r="E16" s="67" t="s">
        <v>1215</v>
      </c>
      <c r="F16" s="66" t="s">
        <v>1229</v>
      </c>
      <c r="G16" s="66" t="s">
        <v>1224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80.25" customHeight="1">
      <c r="C17" s="95"/>
      <c r="D17" s="12"/>
      <c r="E17" s="67" t="s">
        <v>1215</v>
      </c>
      <c r="F17" s="66" t="s">
        <v>1230</v>
      </c>
      <c r="G17" s="66" t="s">
        <v>1226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80.25" customHeight="1">
      <c r="C18" s="95"/>
      <c r="D18" s="12"/>
      <c r="E18" s="67" t="s">
        <v>1215</v>
      </c>
      <c r="F18" s="66" t="s">
        <v>1231</v>
      </c>
      <c r="G18" s="66" t="s">
        <v>1232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 ht="80.25" customHeight="1">
      <c r="C19" s="95"/>
      <c r="D19" s="12"/>
      <c r="E19" s="67" t="s">
        <v>1215</v>
      </c>
      <c r="F19" s="66" t="s">
        <v>923</v>
      </c>
      <c r="G19" s="66" t="s">
        <v>1233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</row>
    <row r="20" spans="3:15" ht="80.25" customHeight="1">
      <c r="C20" s="95"/>
      <c r="D20" s="12"/>
      <c r="E20" s="67" t="s">
        <v>1215</v>
      </c>
      <c r="F20" s="66" t="s">
        <v>1234</v>
      </c>
      <c r="G20" s="66" t="s">
        <v>1235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</row>
    <row r="21" spans="3:15" ht="80.25" customHeight="1">
      <c r="C21" s="96"/>
      <c r="D21" s="18"/>
      <c r="E21" s="70" t="s">
        <v>1215</v>
      </c>
      <c r="F21" s="71" t="s">
        <v>933</v>
      </c>
      <c r="G21" s="71" t="s">
        <v>1176</v>
      </c>
      <c r="H21" s="78" t="b">
        <v>0</v>
      </c>
      <c r="I21" s="78" t="b">
        <v>0</v>
      </c>
      <c r="J21" s="78" t="b">
        <v>0</v>
      </c>
      <c r="K21" s="78" t="b">
        <v>0</v>
      </c>
      <c r="L21" s="78" t="b">
        <v>0</v>
      </c>
      <c r="M21" s="79"/>
      <c r="N21" s="79"/>
      <c r="O21" s="80"/>
    </row>
    <row r="22" spans="3:15">
      <c r="M22">
        <f>SUM(M8:M21)</f>
        <v>0</v>
      </c>
      <c r="N22">
        <f>SUM(N8:N21)</f>
        <v>0</v>
      </c>
      <c r="O22">
        <f>SUM(O8:O21)</f>
        <v>0</v>
      </c>
    </row>
  </sheetData>
  <mergeCells count="1">
    <mergeCell ref="B2:C2"/>
  </mergeCells>
  <conditionalFormatting sqref="C8:O21">
    <cfRule type="expression" dxfId="19" priority="5">
      <formula>MOD(ROW(),2)=1</formula>
    </cfRule>
  </conditionalFormatting>
  <conditionalFormatting sqref="C8:G21">
    <cfRule type="expression" dxfId="18" priority="3">
      <formula>MOD(ROW(),2)=19</formula>
    </cfRule>
  </conditionalFormatting>
  <conditionalFormatting sqref="S7">
    <cfRule type="expression" dxfId="17" priority="1">
      <formula>MOD(ROW(),2)=1</formula>
    </cfRule>
  </conditionalFormatting>
  <dataValidations count="1">
    <dataValidation type="list" allowBlank="1" showInputMessage="1" showErrorMessage="1" sqref="D1:D1048576" xr:uid="{A4DEB977-FAE4-4F95-BC81-49A2D21D4231}">
      <formula1>$S$7:$S$7</formula1>
    </dataValidation>
  </dataValidations>
  <hyperlinks>
    <hyperlink ref="B2:C2" location="MENU" display="MENU" xr:uid="{BE5657F4-D2E8-4BD0-AD50-0B3AF74C569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23F6-0577-4F02-A11A-57FAB482F04D}">
  <dimension ref="B2:S7"/>
  <sheetViews>
    <sheetView workbookViewId="0">
      <selection activeCell="L11" sqref="L11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16" priority="1">
      <formula>MOD(ROW(),2)=1</formula>
    </cfRule>
  </conditionalFormatting>
  <dataValidations count="1">
    <dataValidation type="list" allowBlank="1" showInputMessage="1" showErrorMessage="1" sqref="D1:D1048576" xr:uid="{D21F2F3D-1FC8-459E-8513-BB0894AE805D}">
      <formula1>$S$7:$S$7</formula1>
    </dataValidation>
  </dataValidations>
  <hyperlinks>
    <hyperlink ref="B2:C2" location="MENU" display="MENU" xr:uid="{2D9EEF4F-FEBD-4038-9507-2DEFED73F5E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8E50-6204-4CF4-ACDC-D96B5A68ECEF}">
  <dimension ref="B2:S7"/>
  <sheetViews>
    <sheetView workbookViewId="0">
      <selection activeCell="B2" sqref="B2:C2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15" priority="1">
      <formula>MOD(ROW(),2)=1</formula>
    </cfRule>
  </conditionalFormatting>
  <dataValidations count="1">
    <dataValidation type="list" allowBlank="1" showInputMessage="1" showErrorMessage="1" sqref="D1:D1048576" xr:uid="{8B36CB1C-5AEA-4BBA-B9B2-C3694E321D0C}">
      <formula1>$S$7:$S$7</formula1>
    </dataValidation>
  </dataValidations>
  <hyperlinks>
    <hyperlink ref="B2:C2" location="MENU" display="MENU" xr:uid="{E0BCC616-1444-4DE5-8D10-F89C83361A9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6E42-8BBE-4A05-B609-58AF514A40DF}">
  <dimension ref="A1:S7"/>
  <sheetViews>
    <sheetView workbookViewId="0">
      <selection activeCell="B2" sqref="B2:C2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1" spans="1:19">
      <c r="A1" t="s">
        <v>1236</v>
      </c>
    </row>
    <row r="2" spans="1:19" ht="46.5">
      <c r="B2" s="211" t="s">
        <v>30</v>
      </c>
      <c r="C2" s="211"/>
    </row>
    <row r="7" spans="1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14" priority="1">
      <formula>MOD(ROW(),2)=1</formula>
    </cfRule>
  </conditionalFormatting>
  <dataValidations count="1">
    <dataValidation type="list" allowBlank="1" showInputMessage="1" showErrorMessage="1" sqref="D1:D1048576" xr:uid="{5F51426D-CB1A-4976-902C-C5D0DE9794E5}">
      <formula1>$S$7:$S$7</formula1>
    </dataValidation>
  </dataValidations>
  <hyperlinks>
    <hyperlink ref="B2:C2" location="MENU" display="MENU" xr:uid="{1CB82998-E598-4FC3-8D64-72EE857D4C5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C67B-116E-4B71-ACA3-4E08148554EB}">
  <dimension ref="B2:S88"/>
  <sheetViews>
    <sheetView topLeftCell="C76" workbookViewId="0">
      <selection activeCell="O89" sqref="O89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7" max="7" width="11.57031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24">
      <c r="C8" s="94"/>
      <c r="D8" s="48"/>
      <c r="E8" s="68" t="s">
        <v>1237</v>
      </c>
      <c r="F8" s="98" t="s">
        <v>184</v>
      </c>
      <c r="G8" s="98" t="s">
        <v>1238</v>
      </c>
      <c r="H8" s="72" t="b">
        <v>0</v>
      </c>
      <c r="I8" s="72" t="b">
        <v>0</v>
      </c>
      <c r="J8" s="72" t="b">
        <v>0</v>
      </c>
      <c r="K8" s="72" t="b">
        <v>0</v>
      </c>
      <c r="L8" s="72" t="b">
        <v>0</v>
      </c>
      <c r="M8" s="73"/>
      <c r="N8" s="73"/>
      <c r="O8" s="74"/>
      <c r="S8" s="102" t="s">
        <v>53</v>
      </c>
    </row>
    <row r="9" spans="2:19">
      <c r="C9" s="95"/>
      <c r="D9" s="12"/>
      <c r="E9" s="29" t="s">
        <v>1237</v>
      </c>
      <c r="F9" s="32" t="s">
        <v>1239</v>
      </c>
      <c r="G9" s="32" t="s">
        <v>607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 t="s">
        <v>56</v>
      </c>
    </row>
    <row r="10" spans="2:19" ht="24">
      <c r="C10" s="95"/>
      <c r="D10" s="12"/>
      <c r="E10" s="29" t="s">
        <v>1237</v>
      </c>
      <c r="F10" s="32" t="s">
        <v>190</v>
      </c>
      <c r="G10" s="32" t="s">
        <v>272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 t="s">
        <v>59</v>
      </c>
    </row>
    <row r="11" spans="2:19" ht="36">
      <c r="C11" s="95"/>
      <c r="D11" s="12"/>
      <c r="E11" s="29" t="s">
        <v>1237</v>
      </c>
      <c r="F11" s="32" t="s">
        <v>1240</v>
      </c>
      <c r="G11" s="32" t="s">
        <v>1241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 t="s">
        <v>62</v>
      </c>
    </row>
    <row r="12" spans="2:19">
      <c r="C12" s="95"/>
      <c r="D12" s="12"/>
      <c r="E12" s="29" t="s">
        <v>1237</v>
      </c>
      <c r="F12" s="32" t="s">
        <v>195</v>
      </c>
      <c r="G12" s="32" t="s">
        <v>215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 t="s">
        <v>66</v>
      </c>
    </row>
    <row r="13" spans="2:19">
      <c r="C13" s="95"/>
      <c r="D13" s="12"/>
      <c r="E13" s="29" t="s">
        <v>1237</v>
      </c>
      <c r="F13" s="32" t="s">
        <v>1242</v>
      </c>
      <c r="G13" s="32" t="s">
        <v>1243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2" t="s">
        <v>69</v>
      </c>
    </row>
    <row r="14" spans="2:19">
      <c r="C14" s="95"/>
      <c r="D14" s="12"/>
      <c r="E14" s="29" t="s">
        <v>1237</v>
      </c>
      <c r="F14" s="32" t="s">
        <v>199</v>
      </c>
      <c r="G14" s="32" t="s">
        <v>1244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  <c r="S14" s="102" t="s">
        <v>72</v>
      </c>
    </row>
    <row r="15" spans="2:19">
      <c r="C15" s="95"/>
      <c r="D15" s="12"/>
      <c r="E15" s="29" t="s">
        <v>1237</v>
      </c>
      <c r="F15" s="32" t="s">
        <v>209</v>
      </c>
      <c r="G15" s="32" t="s">
        <v>1243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  <c r="S15" s="102" t="s">
        <v>75</v>
      </c>
    </row>
    <row r="16" spans="2:19">
      <c r="C16" s="95"/>
      <c r="D16" s="12"/>
      <c r="E16" s="29" t="s">
        <v>1237</v>
      </c>
      <c r="F16" s="32" t="s">
        <v>1245</v>
      </c>
      <c r="G16" s="32" t="s">
        <v>1244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  <c r="S16" s="102" t="s">
        <v>78</v>
      </c>
    </row>
    <row r="17" spans="3:19">
      <c r="C17" s="95"/>
      <c r="D17" s="12"/>
      <c r="E17" s="29" t="s">
        <v>1237</v>
      </c>
      <c r="F17" s="32" t="s">
        <v>216</v>
      </c>
      <c r="G17" s="32" t="s">
        <v>1244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  <c r="S17" s="102" t="s">
        <v>81</v>
      </c>
    </row>
    <row r="18" spans="3:19" ht="36">
      <c r="C18" s="95"/>
      <c r="D18" s="12"/>
      <c r="E18" s="29" t="s">
        <v>1237</v>
      </c>
      <c r="F18" s="32" t="s">
        <v>220</v>
      </c>
      <c r="G18" s="32" t="s">
        <v>1246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  <c r="S18" s="102" t="s">
        <v>63</v>
      </c>
    </row>
    <row r="19" spans="3:19">
      <c r="C19" s="95"/>
      <c r="D19" s="12"/>
      <c r="E19" s="29" t="s">
        <v>1237</v>
      </c>
      <c r="F19" s="32" t="s">
        <v>224</v>
      </c>
      <c r="G19" s="29" t="s">
        <v>1243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  <c r="S19" s="102" t="s">
        <v>85</v>
      </c>
    </row>
    <row r="20" spans="3:19">
      <c r="C20" s="95"/>
      <c r="D20" s="12"/>
      <c r="E20" s="29" t="s">
        <v>1237</v>
      </c>
      <c r="F20" s="32" t="s">
        <v>1247</v>
      </c>
      <c r="G20" s="29" t="s">
        <v>1243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  <c r="S20" s="102" t="s">
        <v>88</v>
      </c>
    </row>
    <row r="21" spans="3:19" ht="27">
      <c r="C21" s="95"/>
      <c r="D21" s="12"/>
      <c r="E21" s="29" t="s">
        <v>1237</v>
      </c>
      <c r="F21" s="32" t="s">
        <v>230</v>
      </c>
      <c r="G21" s="29" t="s">
        <v>272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  <c r="S21" s="102" t="s">
        <v>91</v>
      </c>
    </row>
    <row r="22" spans="3:19" ht="27">
      <c r="C22" s="95"/>
      <c r="D22" s="12"/>
      <c r="E22" s="29" t="s">
        <v>1237</v>
      </c>
      <c r="F22" s="32" t="s">
        <v>1248</v>
      </c>
      <c r="G22" s="29" t="s">
        <v>93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  <c r="S22" s="102" t="s">
        <v>94</v>
      </c>
    </row>
    <row r="23" spans="3:19">
      <c r="C23" s="95"/>
      <c r="D23" s="12"/>
      <c r="E23" s="29" t="s">
        <v>1237</v>
      </c>
      <c r="F23" s="32" t="s">
        <v>237</v>
      </c>
      <c r="G23" s="29" t="s">
        <v>1249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  <c r="S23" s="102"/>
    </row>
    <row r="24" spans="3:19" ht="40.5">
      <c r="C24" s="95"/>
      <c r="D24" s="12"/>
      <c r="E24" s="29" t="s">
        <v>1237</v>
      </c>
      <c r="F24" s="32" t="s">
        <v>241</v>
      </c>
      <c r="G24" s="29" t="s">
        <v>1250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  <c r="S24" s="102"/>
    </row>
    <row r="25" spans="3:19" ht="40.5">
      <c r="C25" s="95"/>
      <c r="D25" s="12"/>
      <c r="E25" s="29" t="s">
        <v>1237</v>
      </c>
      <c r="F25" s="32" t="s">
        <v>245</v>
      </c>
      <c r="G25" s="29" t="s">
        <v>1251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  <c r="S25" s="102"/>
    </row>
    <row r="26" spans="3:19" ht="40.5">
      <c r="C26" s="95"/>
      <c r="D26" s="12"/>
      <c r="E26" s="29" t="s">
        <v>1237</v>
      </c>
      <c r="F26" s="32" t="s">
        <v>249</v>
      </c>
      <c r="G26" s="29" t="s">
        <v>1252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  <c r="S26" s="102"/>
    </row>
    <row r="27" spans="3:19" ht="27">
      <c r="C27" s="95"/>
      <c r="D27" s="12"/>
      <c r="E27" s="29" t="s">
        <v>1237</v>
      </c>
      <c r="F27" s="32" t="s">
        <v>252</v>
      </c>
      <c r="G27" s="29" t="s">
        <v>719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  <c r="S27" s="102"/>
    </row>
    <row r="28" spans="3:19">
      <c r="C28" s="95"/>
      <c r="D28" s="12"/>
      <c r="E28" s="29" t="s">
        <v>1237</v>
      </c>
      <c r="F28" s="32" t="s">
        <v>256</v>
      </c>
      <c r="G28" s="29" t="s">
        <v>1253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  <c r="S28" s="102"/>
    </row>
    <row r="29" spans="3:19" ht="27">
      <c r="C29" s="95"/>
      <c r="D29" s="12"/>
      <c r="E29" s="29" t="s">
        <v>1237</v>
      </c>
      <c r="F29" s="32" t="s">
        <v>260</v>
      </c>
      <c r="G29" s="29" t="s">
        <v>272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  <c r="S29" s="102"/>
    </row>
    <row r="30" spans="3:19" ht="67.5">
      <c r="C30" s="95"/>
      <c r="D30" s="12"/>
      <c r="E30" s="29" t="s">
        <v>1237</v>
      </c>
      <c r="F30" s="32" t="s">
        <v>264</v>
      </c>
      <c r="G30" s="29" t="s">
        <v>1254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  <c r="S30" s="102"/>
    </row>
    <row r="31" spans="3:19" ht="53.25">
      <c r="C31" s="95"/>
      <c r="D31" s="12"/>
      <c r="E31" s="29" t="s">
        <v>1237</v>
      </c>
      <c r="F31" s="32" t="s">
        <v>268</v>
      </c>
      <c r="G31" s="29" t="s">
        <v>1255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  <c r="S31" s="102"/>
    </row>
    <row r="32" spans="3:19">
      <c r="C32" s="95"/>
      <c r="D32" s="12"/>
      <c r="E32" s="67" t="s">
        <v>1256</v>
      </c>
      <c r="F32" s="66" t="s">
        <v>1257</v>
      </c>
      <c r="G32" s="66" t="s">
        <v>1099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</row>
    <row r="33" spans="3:15">
      <c r="C33" s="95"/>
      <c r="D33" s="12"/>
      <c r="E33" s="67" t="s">
        <v>1256</v>
      </c>
      <c r="F33" s="66" t="s">
        <v>1258</v>
      </c>
      <c r="G33" s="66" t="s">
        <v>1259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</row>
    <row r="34" spans="3:15" ht="36">
      <c r="C34" s="95"/>
      <c r="D34" s="12"/>
      <c r="E34" s="67" t="s">
        <v>1256</v>
      </c>
      <c r="F34" s="66" t="s">
        <v>1260</v>
      </c>
      <c r="G34" s="66" t="s">
        <v>1261</v>
      </c>
      <c r="H34" s="75" t="b">
        <v>0</v>
      </c>
      <c r="I34" s="75" t="b">
        <v>0</v>
      </c>
      <c r="J34" s="75" t="b">
        <v>0</v>
      </c>
      <c r="K34" s="75" t="b">
        <v>0</v>
      </c>
      <c r="L34" s="75" t="b">
        <v>0</v>
      </c>
      <c r="M34" s="76"/>
      <c r="N34" s="76"/>
      <c r="O34" s="77"/>
    </row>
    <row r="35" spans="3:15" ht="24">
      <c r="C35" s="95"/>
      <c r="D35" s="12"/>
      <c r="E35" s="67" t="s">
        <v>1256</v>
      </c>
      <c r="F35" s="66" t="s">
        <v>1262</v>
      </c>
      <c r="G35" s="66" t="s">
        <v>1263</v>
      </c>
      <c r="H35" s="75" t="b">
        <v>0</v>
      </c>
      <c r="I35" s="75" t="b">
        <v>0</v>
      </c>
      <c r="J35" s="75" t="b">
        <v>0</v>
      </c>
      <c r="K35" s="75" t="b">
        <v>0</v>
      </c>
      <c r="L35" s="75" t="b">
        <v>0</v>
      </c>
      <c r="M35" s="76"/>
      <c r="N35" s="76"/>
      <c r="O35" s="77"/>
    </row>
    <row r="36" spans="3:15" ht="48">
      <c r="C36" s="95"/>
      <c r="D36" s="12"/>
      <c r="E36" s="67" t="s">
        <v>1256</v>
      </c>
      <c r="F36" s="66" t="s">
        <v>1264</v>
      </c>
      <c r="G36" s="66" t="s">
        <v>1265</v>
      </c>
      <c r="H36" s="75" t="b">
        <v>0</v>
      </c>
      <c r="I36" s="75" t="b">
        <v>0</v>
      </c>
      <c r="J36" s="75" t="b">
        <v>0</v>
      </c>
      <c r="K36" s="75" t="b">
        <v>0</v>
      </c>
      <c r="L36" s="75" t="b">
        <v>0</v>
      </c>
      <c r="M36" s="76"/>
      <c r="N36" s="76"/>
      <c r="O36" s="77"/>
    </row>
    <row r="37" spans="3:15" ht="24">
      <c r="C37" s="95"/>
      <c r="D37" s="12"/>
      <c r="E37" s="67" t="s">
        <v>1256</v>
      </c>
      <c r="F37" s="66" t="s">
        <v>1266</v>
      </c>
      <c r="G37" s="66" t="s">
        <v>1267</v>
      </c>
      <c r="H37" s="75" t="b">
        <v>0</v>
      </c>
      <c r="I37" s="75" t="b">
        <v>0</v>
      </c>
      <c r="J37" s="75" t="b">
        <v>0</v>
      </c>
      <c r="K37" s="75" t="b">
        <v>0</v>
      </c>
      <c r="L37" s="75" t="b">
        <v>0</v>
      </c>
      <c r="M37" s="76"/>
      <c r="N37" s="76"/>
      <c r="O37" s="77"/>
    </row>
    <row r="38" spans="3:15" ht="60">
      <c r="C38" s="95"/>
      <c r="D38" s="12"/>
      <c r="E38" s="67" t="s">
        <v>1256</v>
      </c>
      <c r="F38" s="66" t="s">
        <v>1268</v>
      </c>
      <c r="G38" s="66" t="s">
        <v>1269</v>
      </c>
      <c r="H38" s="75" t="b">
        <v>0</v>
      </c>
      <c r="I38" s="75" t="b">
        <v>0</v>
      </c>
      <c r="J38" s="75" t="b">
        <v>0</v>
      </c>
      <c r="K38" s="75" t="b">
        <v>0</v>
      </c>
      <c r="L38" s="75" t="b">
        <v>0</v>
      </c>
      <c r="M38" s="76"/>
      <c r="N38" s="76"/>
      <c r="O38" s="77"/>
    </row>
    <row r="39" spans="3:15" ht="36">
      <c r="C39" s="95"/>
      <c r="D39" s="12"/>
      <c r="E39" s="67" t="s">
        <v>1256</v>
      </c>
      <c r="F39" s="66" t="s">
        <v>1270</v>
      </c>
      <c r="G39" s="66" t="s">
        <v>1271</v>
      </c>
      <c r="H39" s="75" t="b">
        <v>0</v>
      </c>
      <c r="I39" s="75" t="b">
        <v>0</v>
      </c>
      <c r="J39" s="75" t="b">
        <v>0</v>
      </c>
      <c r="K39" s="75" t="b">
        <v>0</v>
      </c>
      <c r="L39" s="75" t="b">
        <v>0</v>
      </c>
      <c r="M39" s="76"/>
      <c r="N39" s="76"/>
      <c r="O39" s="77"/>
    </row>
    <row r="40" spans="3:15" ht="24">
      <c r="C40" s="95"/>
      <c r="D40" s="12"/>
      <c r="E40" s="67" t="s">
        <v>1256</v>
      </c>
      <c r="F40" s="66" t="s">
        <v>1272</v>
      </c>
      <c r="G40" s="66" t="s">
        <v>1273</v>
      </c>
      <c r="H40" s="75" t="b">
        <v>0</v>
      </c>
      <c r="I40" s="75" t="b">
        <v>0</v>
      </c>
      <c r="J40" s="75" t="b">
        <v>0</v>
      </c>
      <c r="K40" s="75" t="b">
        <v>0</v>
      </c>
      <c r="L40" s="75" t="b">
        <v>0</v>
      </c>
      <c r="M40" s="76"/>
      <c r="N40" s="76"/>
      <c r="O40" s="77"/>
    </row>
    <row r="41" spans="3:15" ht="24">
      <c r="C41" s="95"/>
      <c r="D41" s="12"/>
      <c r="E41" s="67" t="s">
        <v>1256</v>
      </c>
      <c r="F41" s="66" t="s">
        <v>1274</v>
      </c>
      <c r="G41" s="66" t="s">
        <v>1275</v>
      </c>
      <c r="H41" s="75" t="b">
        <v>0</v>
      </c>
      <c r="I41" s="75" t="b">
        <v>0</v>
      </c>
      <c r="J41" s="75" t="b">
        <v>0</v>
      </c>
      <c r="K41" s="75" t="b">
        <v>0</v>
      </c>
      <c r="L41" s="75" t="b">
        <v>0</v>
      </c>
      <c r="M41" s="76"/>
      <c r="N41" s="76"/>
      <c r="O41" s="77"/>
    </row>
    <row r="42" spans="3:15" ht="25.5">
      <c r="C42" s="95"/>
      <c r="D42" s="12"/>
      <c r="E42" s="67" t="s">
        <v>1256</v>
      </c>
      <c r="F42" s="66" t="s">
        <v>1276</v>
      </c>
      <c r="G42" s="67" t="s">
        <v>1277</v>
      </c>
      <c r="H42" s="75" t="b">
        <v>0</v>
      </c>
      <c r="I42" s="75" t="b">
        <v>0</v>
      </c>
      <c r="J42" s="75" t="b">
        <v>0</v>
      </c>
      <c r="K42" s="75" t="b">
        <v>0</v>
      </c>
      <c r="L42" s="75" t="b">
        <v>0</v>
      </c>
      <c r="M42" s="76"/>
      <c r="N42" s="76"/>
      <c r="O42" s="77"/>
    </row>
    <row r="43" spans="3:15" ht="25.5">
      <c r="C43" s="95"/>
      <c r="D43" s="12"/>
      <c r="E43" s="67" t="s">
        <v>1256</v>
      </c>
      <c r="F43" s="66" t="s">
        <v>1278</v>
      </c>
      <c r="G43" s="67" t="s">
        <v>1279</v>
      </c>
      <c r="H43" s="75" t="b">
        <v>0</v>
      </c>
      <c r="I43" s="75" t="b">
        <v>0</v>
      </c>
      <c r="J43" s="75" t="b">
        <v>0</v>
      </c>
      <c r="K43" s="75" t="b">
        <v>0</v>
      </c>
      <c r="L43" s="75" t="b">
        <v>0</v>
      </c>
      <c r="M43" s="76"/>
      <c r="N43" s="76"/>
      <c r="O43" s="77"/>
    </row>
    <row r="44" spans="3:15" ht="48">
      <c r="C44" s="95"/>
      <c r="D44" s="12"/>
      <c r="E44" s="67" t="s">
        <v>1256</v>
      </c>
      <c r="F44" s="66" t="s">
        <v>797</v>
      </c>
      <c r="G44" s="66" t="s">
        <v>1280</v>
      </c>
      <c r="H44" s="75" t="b">
        <v>0</v>
      </c>
      <c r="I44" s="75" t="b">
        <v>0</v>
      </c>
      <c r="J44" s="75" t="b">
        <v>0</v>
      </c>
      <c r="K44" s="75" t="b">
        <v>0</v>
      </c>
      <c r="L44" s="75" t="b">
        <v>0</v>
      </c>
      <c r="M44" s="76"/>
      <c r="N44" s="76"/>
      <c r="O44" s="77"/>
    </row>
    <row r="45" spans="3:15" ht="48">
      <c r="C45" s="95"/>
      <c r="D45" s="12"/>
      <c r="E45" s="67" t="s">
        <v>1256</v>
      </c>
      <c r="F45" s="66" t="s">
        <v>1278</v>
      </c>
      <c r="G45" s="66" t="s">
        <v>1281</v>
      </c>
      <c r="H45" s="75" t="b">
        <v>0</v>
      </c>
      <c r="I45" s="75" t="b">
        <v>0</v>
      </c>
      <c r="J45" s="75" t="b">
        <v>0</v>
      </c>
      <c r="K45" s="75" t="b">
        <v>0</v>
      </c>
      <c r="L45" s="75" t="b">
        <v>0</v>
      </c>
      <c r="M45" s="76"/>
      <c r="N45" s="76"/>
      <c r="O45" s="77"/>
    </row>
    <row r="46" spans="3:15" ht="36">
      <c r="C46" s="95"/>
      <c r="D46" s="12"/>
      <c r="E46" s="67" t="s">
        <v>1256</v>
      </c>
      <c r="F46" s="66" t="s">
        <v>1282</v>
      </c>
      <c r="G46" s="66" t="s">
        <v>1283</v>
      </c>
      <c r="H46" s="75" t="b">
        <v>0</v>
      </c>
      <c r="I46" s="75" t="b">
        <v>0</v>
      </c>
      <c r="J46" s="75" t="b">
        <v>0</v>
      </c>
      <c r="K46" s="75" t="b">
        <v>0</v>
      </c>
      <c r="L46" s="75" t="b">
        <v>0</v>
      </c>
      <c r="M46" s="76"/>
      <c r="N46" s="76"/>
      <c r="O46" s="77"/>
    </row>
    <row r="47" spans="3:15">
      <c r="C47" s="95"/>
      <c r="D47" s="12"/>
      <c r="E47" s="67" t="s">
        <v>1256</v>
      </c>
      <c r="F47" s="66" t="s">
        <v>800</v>
      </c>
      <c r="G47" s="66" t="s">
        <v>1243</v>
      </c>
      <c r="H47" s="75" t="b">
        <v>0</v>
      </c>
      <c r="I47" s="75" t="b">
        <v>0</v>
      </c>
      <c r="J47" s="75" t="b">
        <v>0</v>
      </c>
      <c r="K47" s="75" t="b">
        <v>0</v>
      </c>
      <c r="L47" s="75" t="b">
        <v>0</v>
      </c>
      <c r="M47" s="76"/>
      <c r="N47" s="76"/>
      <c r="O47" s="77"/>
    </row>
    <row r="48" spans="3:15">
      <c r="C48" s="95"/>
      <c r="D48" s="12"/>
      <c r="E48" s="67" t="s">
        <v>1256</v>
      </c>
      <c r="F48" s="66" t="s">
        <v>801</v>
      </c>
      <c r="G48" s="66" t="s">
        <v>1284</v>
      </c>
      <c r="H48" s="75" t="b">
        <v>0</v>
      </c>
      <c r="I48" s="75" t="b">
        <v>0</v>
      </c>
      <c r="J48" s="75" t="b">
        <v>0</v>
      </c>
      <c r="K48" s="75" t="b">
        <v>0</v>
      </c>
      <c r="L48" s="75" t="b">
        <v>0</v>
      </c>
      <c r="M48" s="76"/>
      <c r="N48" s="76"/>
      <c r="O48" s="77"/>
    </row>
    <row r="49" spans="3:15" ht="36">
      <c r="C49" s="95"/>
      <c r="D49" s="12"/>
      <c r="E49" s="67" t="s">
        <v>1256</v>
      </c>
      <c r="F49" s="66" t="s">
        <v>1285</v>
      </c>
      <c r="G49" s="66" t="s">
        <v>1200</v>
      </c>
      <c r="H49" s="75" t="b">
        <v>0</v>
      </c>
      <c r="I49" s="75" t="b">
        <v>0</v>
      </c>
      <c r="J49" s="75" t="b">
        <v>0</v>
      </c>
      <c r="K49" s="75" t="b">
        <v>0</v>
      </c>
      <c r="L49" s="75" t="b">
        <v>0</v>
      </c>
      <c r="M49" s="76"/>
      <c r="N49" s="76"/>
      <c r="O49" s="77"/>
    </row>
    <row r="50" spans="3:15" ht="24">
      <c r="C50" s="95"/>
      <c r="D50" s="12"/>
      <c r="E50" s="67" t="s">
        <v>1256</v>
      </c>
      <c r="F50" s="66" t="s">
        <v>1286</v>
      </c>
      <c r="G50" s="66" t="s">
        <v>272</v>
      </c>
      <c r="H50" s="75" t="b">
        <v>0</v>
      </c>
      <c r="I50" s="75" t="b">
        <v>0</v>
      </c>
      <c r="J50" s="75" t="b">
        <v>0</v>
      </c>
      <c r="K50" s="75" t="b">
        <v>0</v>
      </c>
      <c r="L50" s="75" t="b">
        <v>0</v>
      </c>
      <c r="M50" s="76"/>
      <c r="N50" s="76"/>
      <c r="O50" s="77"/>
    </row>
    <row r="51" spans="3:15" ht="48">
      <c r="C51" s="95"/>
      <c r="D51" s="12"/>
      <c r="E51" s="67" t="s">
        <v>1256</v>
      </c>
      <c r="F51" s="66" t="s">
        <v>1287</v>
      </c>
      <c r="G51" s="66" t="s">
        <v>1288</v>
      </c>
      <c r="H51" s="75" t="b">
        <v>0</v>
      </c>
      <c r="I51" s="75" t="b">
        <v>0</v>
      </c>
      <c r="J51" s="75" t="b">
        <v>0</v>
      </c>
      <c r="K51" s="75" t="b">
        <v>0</v>
      </c>
      <c r="L51" s="75" t="b">
        <v>0</v>
      </c>
      <c r="M51" s="76"/>
      <c r="N51" s="76"/>
      <c r="O51" s="77"/>
    </row>
    <row r="52" spans="3:15">
      <c r="C52" s="95"/>
      <c r="D52" s="12"/>
      <c r="E52" s="67" t="s">
        <v>1256</v>
      </c>
      <c r="F52" s="66" t="s">
        <v>1289</v>
      </c>
      <c r="G52" s="66" t="s">
        <v>1290</v>
      </c>
      <c r="H52" s="75" t="b">
        <v>0</v>
      </c>
      <c r="I52" s="75" t="b">
        <v>0</v>
      </c>
      <c r="J52" s="75" t="b">
        <v>0</v>
      </c>
      <c r="K52" s="75" t="b">
        <v>0</v>
      </c>
      <c r="L52" s="75" t="b">
        <v>0</v>
      </c>
      <c r="M52" s="76"/>
      <c r="N52" s="76"/>
      <c r="O52" s="77"/>
    </row>
    <row r="53" spans="3:15" ht="48">
      <c r="C53" s="95"/>
      <c r="D53" s="12"/>
      <c r="E53" s="67" t="s">
        <v>1256</v>
      </c>
      <c r="F53" s="66" t="s">
        <v>1291</v>
      </c>
      <c r="G53" s="66" t="s">
        <v>1292</v>
      </c>
      <c r="H53" s="75" t="b">
        <v>0</v>
      </c>
      <c r="I53" s="75" t="b">
        <v>0</v>
      </c>
      <c r="J53" s="75" t="b">
        <v>0</v>
      </c>
      <c r="K53" s="75" t="b">
        <v>0</v>
      </c>
      <c r="L53" s="75" t="b">
        <v>0</v>
      </c>
      <c r="M53" s="76"/>
      <c r="N53" s="76"/>
      <c r="O53" s="77"/>
    </row>
    <row r="54" spans="3:15" ht="24">
      <c r="C54" s="95"/>
      <c r="D54" s="12"/>
      <c r="E54" s="67" t="s">
        <v>1256</v>
      </c>
      <c r="F54" s="66" t="s">
        <v>1293</v>
      </c>
      <c r="G54" s="66" t="s">
        <v>1294</v>
      </c>
      <c r="H54" s="75" t="b">
        <v>0</v>
      </c>
      <c r="I54" s="75" t="b">
        <v>0</v>
      </c>
      <c r="J54" s="75" t="b">
        <v>0</v>
      </c>
      <c r="K54" s="75" t="b">
        <v>0</v>
      </c>
      <c r="L54" s="75" t="b">
        <v>0</v>
      </c>
      <c r="M54" s="76"/>
      <c r="N54" s="76"/>
      <c r="O54" s="77"/>
    </row>
    <row r="55" spans="3:15" ht="24">
      <c r="C55" s="95"/>
      <c r="D55" s="12"/>
      <c r="E55" s="67" t="s">
        <v>1256</v>
      </c>
      <c r="F55" s="66" t="s">
        <v>1295</v>
      </c>
      <c r="G55" s="66" t="s">
        <v>1296</v>
      </c>
      <c r="H55" s="75" t="b">
        <v>0</v>
      </c>
      <c r="I55" s="75" t="b">
        <v>0</v>
      </c>
      <c r="J55" s="75" t="b">
        <v>0</v>
      </c>
      <c r="K55" s="75" t="b">
        <v>0</v>
      </c>
      <c r="L55" s="75" t="b">
        <v>0</v>
      </c>
      <c r="M55" s="76"/>
      <c r="N55" s="76"/>
      <c r="O55" s="77"/>
    </row>
    <row r="56" spans="3:15" ht="36">
      <c r="C56" s="95"/>
      <c r="D56" s="12"/>
      <c r="E56" s="67" t="s">
        <v>1256</v>
      </c>
      <c r="F56" s="66" t="s">
        <v>1297</v>
      </c>
      <c r="G56" s="66" t="s">
        <v>1298</v>
      </c>
      <c r="H56" s="75" t="b">
        <v>0</v>
      </c>
      <c r="I56" s="75" t="b">
        <v>0</v>
      </c>
      <c r="J56" s="75" t="b">
        <v>0</v>
      </c>
      <c r="K56" s="75" t="b">
        <v>0</v>
      </c>
      <c r="L56" s="75" t="b">
        <v>0</v>
      </c>
      <c r="M56" s="76"/>
      <c r="N56" s="76"/>
      <c r="O56" s="77"/>
    </row>
    <row r="57" spans="3:15" ht="24">
      <c r="C57" s="95"/>
      <c r="D57" s="12"/>
      <c r="E57" s="67" t="s">
        <v>1256</v>
      </c>
      <c r="F57" s="66" t="s">
        <v>1299</v>
      </c>
      <c r="G57" s="66" t="s">
        <v>1300</v>
      </c>
      <c r="H57" s="75" t="b">
        <v>0</v>
      </c>
      <c r="I57" s="75" t="b">
        <v>0</v>
      </c>
      <c r="J57" s="75" t="b">
        <v>0</v>
      </c>
      <c r="K57" s="75" t="b">
        <v>0</v>
      </c>
      <c r="L57" s="75" t="b">
        <v>0</v>
      </c>
      <c r="M57" s="76"/>
      <c r="N57" s="76"/>
      <c r="O57" s="77"/>
    </row>
    <row r="58" spans="3:15" ht="36">
      <c r="C58" s="95"/>
      <c r="D58" s="12"/>
      <c r="E58" s="67" t="s">
        <v>1256</v>
      </c>
      <c r="F58" s="66" t="s">
        <v>1301</v>
      </c>
      <c r="G58" s="66" t="s">
        <v>1302</v>
      </c>
      <c r="H58" s="75" t="b">
        <v>0</v>
      </c>
      <c r="I58" s="75" t="b">
        <v>0</v>
      </c>
      <c r="J58" s="75" t="b">
        <v>0</v>
      </c>
      <c r="K58" s="75" t="b">
        <v>0</v>
      </c>
      <c r="L58" s="75" t="b">
        <v>0</v>
      </c>
      <c r="M58" s="76"/>
      <c r="N58" s="76"/>
      <c r="O58" s="77"/>
    </row>
    <row r="59" spans="3:15" ht="24">
      <c r="C59" s="95"/>
      <c r="D59" s="12"/>
      <c r="E59" s="67" t="s">
        <v>1256</v>
      </c>
      <c r="F59" s="66" t="s">
        <v>1303</v>
      </c>
      <c r="G59" s="66" t="s">
        <v>1300</v>
      </c>
      <c r="H59" s="75" t="b">
        <v>0</v>
      </c>
      <c r="I59" s="75" t="b">
        <v>0</v>
      </c>
      <c r="J59" s="75" t="b">
        <v>0</v>
      </c>
      <c r="K59" s="75" t="b">
        <v>0</v>
      </c>
      <c r="L59" s="75" t="b">
        <v>0</v>
      </c>
      <c r="M59" s="76"/>
      <c r="N59" s="76"/>
      <c r="O59" s="77"/>
    </row>
    <row r="60" spans="3:15" ht="60">
      <c r="C60" s="95"/>
      <c r="D60" s="12"/>
      <c r="E60" s="67" t="s">
        <v>1256</v>
      </c>
      <c r="F60" s="66" t="s">
        <v>1304</v>
      </c>
      <c r="G60" s="66" t="s">
        <v>1305</v>
      </c>
      <c r="H60" s="75" t="b">
        <v>0</v>
      </c>
      <c r="I60" s="75" t="b">
        <v>0</v>
      </c>
      <c r="J60" s="75" t="b">
        <v>0</v>
      </c>
      <c r="K60" s="75" t="b">
        <v>0</v>
      </c>
      <c r="L60" s="75" t="b">
        <v>0</v>
      </c>
      <c r="M60" s="76"/>
      <c r="N60" s="76"/>
      <c r="O60" s="77"/>
    </row>
    <row r="61" spans="3:15">
      <c r="C61" s="95"/>
      <c r="D61" s="12"/>
      <c r="E61" s="67" t="s">
        <v>1256</v>
      </c>
      <c r="F61" s="66" t="s">
        <v>817</v>
      </c>
      <c r="G61" s="66" t="s">
        <v>1253</v>
      </c>
      <c r="H61" s="75" t="b">
        <v>0</v>
      </c>
      <c r="I61" s="75" t="b">
        <v>0</v>
      </c>
      <c r="J61" s="75" t="b">
        <v>0</v>
      </c>
      <c r="K61" s="75" t="b">
        <v>0</v>
      </c>
      <c r="L61" s="75" t="b">
        <v>0</v>
      </c>
      <c r="M61" s="76"/>
      <c r="N61" s="76"/>
      <c r="O61" s="77"/>
    </row>
    <row r="62" spans="3:15" ht="36">
      <c r="C62" s="95"/>
      <c r="D62" s="12"/>
      <c r="E62" s="67" t="s">
        <v>1256</v>
      </c>
      <c r="F62" s="66" t="s">
        <v>818</v>
      </c>
      <c r="G62" s="66" t="s">
        <v>1306</v>
      </c>
      <c r="H62" s="75" t="b">
        <v>0</v>
      </c>
      <c r="I62" s="75" t="b">
        <v>0</v>
      </c>
      <c r="J62" s="75" t="b">
        <v>0</v>
      </c>
      <c r="K62" s="75" t="b">
        <v>0</v>
      </c>
      <c r="L62" s="75" t="b">
        <v>0</v>
      </c>
      <c r="M62" s="76"/>
      <c r="N62" s="76"/>
      <c r="O62" s="77"/>
    </row>
    <row r="63" spans="3:15" ht="24">
      <c r="C63" s="95"/>
      <c r="D63" s="12"/>
      <c r="E63" s="67" t="s">
        <v>1256</v>
      </c>
      <c r="F63" s="66" t="s">
        <v>819</v>
      </c>
      <c r="G63" s="66" t="s">
        <v>1307</v>
      </c>
      <c r="H63" s="75" t="b">
        <v>0</v>
      </c>
      <c r="I63" s="75" t="b">
        <v>0</v>
      </c>
      <c r="J63" s="75" t="b">
        <v>0</v>
      </c>
      <c r="K63" s="75" t="b">
        <v>0</v>
      </c>
      <c r="L63" s="75" t="b">
        <v>0</v>
      </c>
      <c r="M63" s="76"/>
      <c r="N63" s="76"/>
      <c r="O63" s="77"/>
    </row>
    <row r="64" spans="3:15" ht="48">
      <c r="C64" s="95"/>
      <c r="D64" s="12"/>
      <c r="E64" s="67" t="s">
        <v>1256</v>
      </c>
      <c r="F64" s="66" t="s">
        <v>820</v>
      </c>
      <c r="G64" s="66" t="s">
        <v>1280</v>
      </c>
      <c r="H64" s="75" t="b">
        <v>0</v>
      </c>
      <c r="I64" s="75" t="b">
        <v>0</v>
      </c>
      <c r="J64" s="75" t="b">
        <v>0</v>
      </c>
      <c r="K64" s="75" t="b">
        <v>0</v>
      </c>
      <c r="L64" s="75" t="b">
        <v>0</v>
      </c>
      <c r="M64" s="76"/>
      <c r="N64" s="76"/>
      <c r="O64" s="77"/>
    </row>
    <row r="65" spans="3:15" ht="48">
      <c r="C65" s="95"/>
      <c r="D65" s="12"/>
      <c r="E65" s="67" t="s">
        <v>1256</v>
      </c>
      <c r="F65" s="66" t="s">
        <v>1308</v>
      </c>
      <c r="G65" s="66" t="s">
        <v>1309</v>
      </c>
      <c r="H65" s="75" t="b">
        <v>0</v>
      </c>
      <c r="I65" s="75" t="b">
        <v>0</v>
      </c>
      <c r="J65" s="75" t="b">
        <v>0</v>
      </c>
      <c r="K65" s="75" t="b">
        <v>0</v>
      </c>
      <c r="L65" s="75" t="b">
        <v>0</v>
      </c>
      <c r="M65" s="76"/>
      <c r="N65" s="76"/>
      <c r="O65" s="77"/>
    </row>
    <row r="66" spans="3:15">
      <c r="C66" s="95"/>
      <c r="D66" s="12"/>
      <c r="E66" s="67" t="s">
        <v>1256</v>
      </c>
      <c r="F66" s="66" t="s">
        <v>1310</v>
      </c>
      <c r="G66" s="66" t="s">
        <v>1244</v>
      </c>
      <c r="H66" s="75" t="b">
        <v>0</v>
      </c>
      <c r="I66" s="75" t="b">
        <v>0</v>
      </c>
      <c r="J66" s="75" t="b">
        <v>0</v>
      </c>
      <c r="K66" s="75" t="b">
        <v>0</v>
      </c>
      <c r="L66" s="75" t="b">
        <v>0</v>
      </c>
      <c r="M66" s="76"/>
      <c r="N66" s="76"/>
      <c r="O66" s="77"/>
    </row>
    <row r="67" spans="3:15">
      <c r="C67" s="95"/>
      <c r="D67" s="12"/>
      <c r="E67" s="67" t="s">
        <v>1256</v>
      </c>
      <c r="F67" s="66" t="s">
        <v>1311</v>
      </c>
      <c r="G67" s="66" t="s">
        <v>1243</v>
      </c>
      <c r="H67" s="75" t="b">
        <v>0</v>
      </c>
      <c r="I67" s="75" t="b">
        <v>0</v>
      </c>
      <c r="J67" s="75" t="b">
        <v>0</v>
      </c>
      <c r="K67" s="75" t="b">
        <v>0</v>
      </c>
      <c r="L67" s="75" t="b">
        <v>0</v>
      </c>
      <c r="M67" s="76"/>
      <c r="N67" s="76"/>
      <c r="O67" s="77"/>
    </row>
    <row r="68" spans="3:15">
      <c r="C68" s="95"/>
      <c r="D68" s="12"/>
      <c r="E68" s="67" t="s">
        <v>1256</v>
      </c>
      <c r="F68" s="66" t="s">
        <v>1312</v>
      </c>
      <c r="G68" s="66" t="s">
        <v>828</v>
      </c>
      <c r="H68" s="75" t="b">
        <v>0</v>
      </c>
      <c r="I68" s="75" t="b">
        <v>0</v>
      </c>
      <c r="J68" s="75" t="b">
        <v>0</v>
      </c>
      <c r="K68" s="75" t="b">
        <v>0</v>
      </c>
      <c r="L68" s="75" t="b">
        <v>0</v>
      </c>
      <c r="M68" s="76"/>
      <c r="N68" s="76"/>
      <c r="O68" s="77"/>
    </row>
    <row r="69" spans="3:15">
      <c r="C69" s="95"/>
      <c r="D69" s="12"/>
      <c r="E69" s="67" t="s">
        <v>1256</v>
      </c>
      <c r="F69" s="66" t="s">
        <v>1313</v>
      </c>
      <c r="G69" s="66" t="s">
        <v>1244</v>
      </c>
      <c r="H69" s="75" t="b">
        <v>0</v>
      </c>
      <c r="I69" s="75" t="b">
        <v>0</v>
      </c>
      <c r="J69" s="75" t="b">
        <v>0</v>
      </c>
      <c r="K69" s="75" t="b">
        <v>0</v>
      </c>
      <c r="L69" s="75" t="b">
        <v>0</v>
      </c>
      <c r="M69" s="76"/>
      <c r="N69" s="76"/>
      <c r="O69" s="77"/>
    </row>
    <row r="70" spans="3:15" ht="24">
      <c r="C70" s="95"/>
      <c r="D70" s="12"/>
      <c r="E70" s="67" t="s">
        <v>1256</v>
      </c>
      <c r="F70" s="66" t="s">
        <v>1314</v>
      </c>
      <c r="G70" s="66" t="s">
        <v>272</v>
      </c>
      <c r="H70" s="75" t="b">
        <v>0</v>
      </c>
      <c r="I70" s="75" t="b">
        <v>0</v>
      </c>
      <c r="J70" s="75" t="b">
        <v>0</v>
      </c>
      <c r="K70" s="75" t="b">
        <v>0</v>
      </c>
      <c r="L70" s="75" t="b">
        <v>0</v>
      </c>
      <c r="M70" s="76"/>
      <c r="N70" s="76"/>
      <c r="O70" s="77"/>
    </row>
    <row r="71" spans="3:15" ht="48">
      <c r="C71" s="95"/>
      <c r="D71" s="12"/>
      <c r="E71" s="67" t="s">
        <v>1256</v>
      </c>
      <c r="F71" s="66" t="s">
        <v>829</v>
      </c>
      <c r="G71" s="66" t="s">
        <v>1315</v>
      </c>
      <c r="H71" s="75" t="b">
        <v>0</v>
      </c>
      <c r="I71" s="75" t="b">
        <v>0</v>
      </c>
      <c r="J71" s="75" t="b">
        <v>0</v>
      </c>
      <c r="K71" s="75" t="b">
        <v>0</v>
      </c>
      <c r="L71" s="75" t="b">
        <v>0</v>
      </c>
      <c r="M71" s="76"/>
      <c r="N71" s="76"/>
      <c r="O71" s="77"/>
    </row>
    <row r="72" spans="3:15" ht="24">
      <c r="C72" s="95"/>
      <c r="D72" s="12"/>
      <c r="E72" s="67" t="s">
        <v>1256</v>
      </c>
      <c r="F72" s="66" t="s">
        <v>1316</v>
      </c>
      <c r="G72" s="66" t="s">
        <v>1317</v>
      </c>
      <c r="H72" s="75" t="b">
        <v>0</v>
      </c>
      <c r="I72" s="75" t="b">
        <v>0</v>
      </c>
      <c r="J72" s="75" t="b">
        <v>0</v>
      </c>
      <c r="K72" s="75" t="b">
        <v>0</v>
      </c>
      <c r="L72" s="75" t="b">
        <v>0</v>
      </c>
      <c r="M72" s="76"/>
      <c r="N72" s="76"/>
      <c r="O72" s="77"/>
    </row>
    <row r="73" spans="3:15">
      <c r="C73" s="95"/>
      <c r="D73" s="12"/>
      <c r="E73" s="67" t="s">
        <v>1256</v>
      </c>
      <c r="F73" s="66" t="s">
        <v>1318</v>
      </c>
      <c r="G73" s="66" t="s">
        <v>1319</v>
      </c>
      <c r="H73" s="75" t="b">
        <v>0</v>
      </c>
      <c r="I73" s="75" t="b">
        <v>0</v>
      </c>
      <c r="J73" s="75" t="b">
        <v>0</v>
      </c>
      <c r="K73" s="75" t="b">
        <v>0</v>
      </c>
      <c r="L73" s="75" t="b">
        <v>0</v>
      </c>
      <c r="M73" s="76"/>
      <c r="N73" s="76"/>
      <c r="O73" s="77"/>
    </row>
    <row r="74" spans="3:15" ht="24">
      <c r="C74" s="95"/>
      <c r="D74" s="12"/>
      <c r="E74" s="67" t="s">
        <v>1256</v>
      </c>
      <c r="F74" s="66" t="s">
        <v>1320</v>
      </c>
      <c r="G74" s="66" t="s">
        <v>1294</v>
      </c>
      <c r="H74" s="75" t="b">
        <v>0</v>
      </c>
      <c r="I74" s="75" t="b">
        <v>0</v>
      </c>
      <c r="J74" s="75" t="b">
        <v>0</v>
      </c>
      <c r="K74" s="75" t="b">
        <v>0</v>
      </c>
      <c r="L74" s="75" t="b">
        <v>0</v>
      </c>
      <c r="M74" s="76"/>
      <c r="N74" s="76"/>
      <c r="O74" s="77"/>
    </row>
    <row r="75" spans="3:15" ht="36">
      <c r="C75" s="95"/>
      <c r="D75" s="12"/>
      <c r="E75" s="67" t="s">
        <v>1256</v>
      </c>
      <c r="F75" s="66" t="s">
        <v>1321</v>
      </c>
      <c r="G75" s="66" t="s">
        <v>1322</v>
      </c>
      <c r="H75" s="75" t="b">
        <v>0</v>
      </c>
      <c r="I75" s="75" t="b">
        <v>0</v>
      </c>
      <c r="J75" s="75" t="b">
        <v>0</v>
      </c>
      <c r="K75" s="75" t="b">
        <v>0</v>
      </c>
      <c r="L75" s="75" t="b">
        <v>0</v>
      </c>
      <c r="M75" s="76"/>
      <c r="N75" s="76"/>
      <c r="O75" s="77"/>
    </row>
    <row r="76" spans="3:15" ht="36">
      <c r="C76" s="95"/>
      <c r="D76" s="12"/>
      <c r="E76" s="67" t="s">
        <v>1256</v>
      </c>
      <c r="F76" s="66" t="s">
        <v>1323</v>
      </c>
      <c r="G76" s="66" t="s">
        <v>1324</v>
      </c>
      <c r="H76" s="75" t="b">
        <v>0</v>
      </c>
      <c r="I76" s="75" t="b">
        <v>0</v>
      </c>
      <c r="J76" s="75" t="b">
        <v>0</v>
      </c>
      <c r="K76" s="75" t="b">
        <v>0</v>
      </c>
      <c r="L76" s="75" t="b">
        <v>0</v>
      </c>
      <c r="M76" s="76"/>
      <c r="N76" s="76"/>
      <c r="O76" s="77"/>
    </row>
    <row r="77" spans="3:15" ht="24">
      <c r="C77" s="95"/>
      <c r="D77" s="12"/>
      <c r="E77" s="67" t="s">
        <v>1256</v>
      </c>
      <c r="F77" s="66" t="s">
        <v>1325</v>
      </c>
      <c r="G77" s="66" t="s">
        <v>1326</v>
      </c>
      <c r="H77" s="75" t="b">
        <v>0</v>
      </c>
      <c r="I77" s="75" t="b">
        <v>0</v>
      </c>
      <c r="J77" s="75" t="b">
        <v>0</v>
      </c>
      <c r="K77" s="75" t="b">
        <v>0</v>
      </c>
      <c r="L77" s="75" t="b">
        <v>0</v>
      </c>
      <c r="M77" s="76"/>
      <c r="N77" s="76"/>
      <c r="O77" s="77"/>
    </row>
    <row r="78" spans="3:15" ht="48">
      <c r="C78" s="95"/>
      <c r="D78" s="12"/>
      <c r="E78" s="67" t="s">
        <v>1256</v>
      </c>
      <c r="F78" s="66" t="s">
        <v>1327</v>
      </c>
      <c r="G78" s="66" t="s">
        <v>1328</v>
      </c>
      <c r="H78" s="75" t="b">
        <v>0</v>
      </c>
      <c r="I78" s="75" t="b">
        <v>0</v>
      </c>
      <c r="J78" s="75" t="b">
        <v>0</v>
      </c>
      <c r="K78" s="75" t="b">
        <v>0</v>
      </c>
      <c r="L78" s="75" t="b">
        <v>0</v>
      </c>
      <c r="M78" s="76"/>
      <c r="N78" s="76"/>
      <c r="O78" s="77"/>
    </row>
    <row r="79" spans="3:15" ht="24">
      <c r="C79" s="95"/>
      <c r="D79" s="12"/>
      <c r="E79" s="67" t="s">
        <v>1256</v>
      </c>
      <c r="F79" s="66" t="s">
        <v>1329</v>
      </c>
      <c r="G79" s="66" t="s">
        <v>1330</v>
      </c>
      <c r="H79" s="75" t="b">
        <v>0</v>
      </c>
      <c r="I79" s="75" t="b">
        <v>0</v>
      </c>
      <c r="J79" s="75" t="b">
        <v>0</v>
      </c>
      <c r="K79" s="75" t="b">
        <v>0</v>
      </c>
      <c r="L79" s="75" t="b">
        <v>0</v>
      </c>
      <c r="M79" s="76"/>
      <c r="N79" s="76"/>
      <c r="O79" s="77"/>
    </row>
    <row r="80" spans="3:15" ht="24">
      <c r="C80" s="95"/>
      <c r="D80" s="12"/>
      <c r="E80" s="67" t="s">
        <v>1256</v>
      </c>
      <c r="F80" s="66" t="s">
        <v>1331</v>
      </c>
      <c r="G80" s="66" t="s">
        <v>1330</v>
      </c>
      <c r="H80" s="75" t="b">
        <v>0</v>
      </c>
      <c r="I80" s="75" t="b">
        <v>0</v>
      </c>
      <c r="J80" s="75" t="b">
        <v>0</v>
      </c>
      <c r="K80" s="75" t="b">
        <v>0</v>
      </c>
      <c r="L80" s="75" t="b">
        <v>0</v>
      </c>
      <c r="M80" s="76"/>
      <c r="N80" s="76"/>
      <c r="O80" s="77"/>
    </row>
    <row r="81" spans="3:15" ht="24">
      <c r="C81" s="95"/>
      <c r="D81" s="12"/>
      <c r="E81" s="67" t="s">
        <v>1256</v>
      </c>
      <c r="F81" s="66" t="s">
        <v>1332</v>
      </c>
      <c r="G81" s="66" t="s">
        <v>272</v>
      </c>
      <c r="H81" s="75" t="b">
        <v>0</v>
      </c>
      <c r="I81" s="75" t="b">
        <v>0</v>
      </c>
      <c r="J81" s="75" t="b">
        <v>0</v>
      </c>
      <c r="K81" s="75" t="b">
        <v>0</v>
      </c>
      <c r="L81" s="75" t="b">
        <v>0</v>
      </c>
      <c r="M81" s="76"/>
      <c r="N81" s="76"/>
      <c r="O81" s="77"/>
    </row>
    <row r="82" spans="3:15" ht="24">
      <c r="C82" s="95"/>
      <c r="D82" s="12"/>
      <c r="E82" s="67" t="s">
        <v>1256</v>
      </c>
      <c r="F82" s="66" t="s">
        <v>1333</v>
      </c>
      <c r="G82" s="66" t="s">
        <v>1334</v>
      </c>
      <c r="H82" s="75" t="b">
        <v>0</v>
      </c>
      <c r="I82" s="75" t="b">
        <v>0</v>
      </c>
      <c r="J82" s="75" t="b">
        <v>0</v>
      </c>
      <c r="K82" s="75" t="b">
        <v>0</v>
      </c>
      <c r="L82" s="75" t="b">
        <v>0</v>
      </c>
      <c r="M82" s="76"/>
      <c r="N82" s="76"/>
      <c r="O82" s="77"/>
    </row>
    <row r="83" spans="3:15" ht="24">
      <c r="C83" s="95"/>
      <c r="D83" s="12"/>
      <c r="E83" s="67" t="s">
        <v>1256</v>
      </c>
      <c r="F83" s="66" t="s">
        <v>1335</v>
      </c>
      <c r="G83" s="66" t="s">
        <v>1336</v>
      </c>
      <c r="H83" s="75" t="b">
        <v>0</v>
      </c>
      <c r="I83" s="75" t="b">
        <v>0</v>
      </c>
      <c r="J83" s="75" t="b">
        <v>0</v>
      </c>
      <c r="K83" s="75" t="b">
        <v>0</v>
      </c>
      <c r="L83" s="75" t="b">
        <v>0</v>
      </c>
      <c r="M83" s="76"/>
      <c r="N83" s="76"/>
      <c r="O83" s="77"/>
    </row>
    <row r="84" spans="3:15" ht="48">
      <c r="C84" s="95"/>
      <c r="D84" s="12"/>
      <c r="E84" s="67" t="s">
        <v>1256</v>
      </c>
      <c r="F84" s="66" t="s">
        <v>1337</v>
      </c>
      <c r="G84" s="66" t="s">
        <v>1338</v>
      </c>
      <c r="H84" s="75" t="b">
        <v>0</v>
      </c>
      <c r="I84" s="75" t="b">
        <v>0</v>
      </c>
      <c r="J84" s="75" t="b">
        <v>0</v>
      </c>
      <c r="K84" s="75" t="b">
        <v>0</v>
      </c>
      <c r="L84" s="75" t="b">
        <v>0</v>
      </c>
      <c r="M84" s="76"/>
      <c r="N84" s="76"/>
      <c r="O84" s="77"/>
    </row>
    <row r="85" spans="3:15" ht="36">
      <c r="C85" s="95"/>
      <c r="D85" s="12"/>
      <c r="E85" s="67" t="s">
        <v>1256</v>
      </c>
      <c r="F85" s="66" t="s">
        <v>1339</v>
      </c>
      <c r="G85" s="66" t="s">
        <v>1340</v>
      </c>
      <c r="H85" s="75" t="b">
        <v>0</v>
      </c>
      <c r="I85" s="75" t="b">
        <v>0</v>
      </c>
      <c r="J85" s="75" t="b">
        <v>0</v>
      </c>
      <c r="K85" s="75" t="b">
        <v>0</v>
      </c>
      <c r="L85" s="75" t="b">
        <v>0</v>
      </c>
      <c r="M85" s="76"/>
      <c r="N85" s="76"/>
      <c r="O85" s="77"/>
    </row>
    <row r="86" spans="3:15" ht="48">
      <c r="C86" s="95"/>
      <c r="D86" s="12"/>
      <c r="E86" s="67" t="s">
        <v>1256</v>
      </c>
      <c r="F86" s="66" t="s">
        <v>1341</v>
      </c>
      <c r="G86" s="66" t="s">
        <v>1342</v>
      </c>
      <c r="H86" s="75" t="b">
        <v>0</v>
      </c>
      <c r="I86" s="75" t="b">
        <v>0</v>
      </c>
      <c r="J86" s="75" t="b">
        <v>0</v>
      </c>
      <c r="K86" s="75" t="b">
        <v>0</v>
      </c>
      <c r="L86" s="75" t="b">
        <v>0</v>
      </c>
      <c r="M86" s="76"/>
      <c r="N86" s="76"/>
      <c r="O86" s="77"/>
    </row>
    <row r="87" spans="3:15">
      <c r="C87" s="95"/>
      <c r="D87" s="12"/>
      <c r="E87" s="67" t="s">
        <v>1256</v>
      </c>
      <c r="F87" s="66" t="s">
        <v>1343</v>
      </c>
      <c r="G87" s="66" t="s">
        <v>828</v>
      </c>
      <c r="H87" s="75" t="b">
        <v>0</v>
      </c>
      <c r="I87" s="75" t="b">
        <v>0</v>
      </c>
      <c r="J87" s="75" t="b">
        <v>0</v>
      </c>
      <c r="K87" s="75" t="b">
        <v>0</v>
      </c>
      <c r="L87" s="75" t="b">
        <v>0</v>
      </c>
      <c r="M87" s="76"/>
      <c r="N87" s="76"/>
      <c r="O87" s="77"/>
    </row>
    <row r="88" spans="3:15">
      <c r="M88">
        <f>SUM(M8:M87)</f>
        <v>0</v>
      </c>
      <c r="N88">
        <f>SUM(N8:N87)</f>
        <v>0</v>
      </c>
      <c r="O88">
        <f>SUM(O8:O87)</f>
        <v>0</v>
      </c>
    </row>
  </sheetData>
  <mergeCells count="1">
    <mergeCell ref="B2:C2"/>
  </mergeCells>
  <conditionalFormatting sqref="H8:O44 C8:G87">
    <cfRule type="expression" dxfId="13" priority="5">
      <formula>MOD(ROW(),2)=1</formula>
    </cfRule>
  </conditionalFormatting>
  <conditionalFormatting sqref="H45:O87">
    <cfRule type="expression" dxfId="12" priority="4">
      <formula>MOD(ROW(),2)=1</formula>
    </cfRule>
  </conditionalFormatting>
  <conditionalFormatting sqref="C8:G87">
    <cfRule type="expression" dxfId="11" priority="3">
      <formula>MOD(ROW(),2)=19</formula>
    </cfRule>
  </conditionalFormatting>
  <conditionalFormatting sqref="S7:S31">
    <cfRule type="expression" dxfId="10" priority="1">
      <formula>MOD(ROW(),2)=1</formula>
    </cfRule>
  </conditionalFormatting>
  <dataValidations count="1">
    <dataValidation type="list" allowBlank="1" showInputMessage="1" showErrorMessage="1" sqref="D1:D1048576" xr:uid="{1A4CFF23-0E9B-402B-A735-461979AD2CCA}">
      <formula1>$S$7:$S$19</formula1>
    </dataValidation>
  </dataValidations>
  <hyperlinks>
    <hyperlink ref="B2:C2" location="MENU" display="MENU" xr:uid="{84F570D1-574F-4778-8036-E3F3359FF58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D855-9D6C-4979-B779-B679B58CC3D3}">
  <dimension ref="B2:S34"/>
  <sheetViews>
    <sheetView topLeftCell="A26" workbookViewId="0">
      <selection activeCell="T33" sqref="T33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7" max="7" width="11.57031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60">
      <c r="C8" s="95"/>
      <c r="D8" s="12"/>
      <c r="E8" s="29" t="s">
        <v>1344</v>
      </c>
      <c r="F8" s="99" t="s">
        <v>1240</v>
      </c>
      <c r="G8" s="99" t="s">
        <v>1345</v>
      </c>
      <c r="H8" s="75" t="b">
        <v>0</v>
      </c>
      <c r="I8" s="75" t="b">
        <v>0</v>
      </c>
      <c r="J8" s="75" t="b">
        <v>0</v>
      </c>
      <c r="K8" s="75" t="b">
        <v>0</v>
      </c>
      <c r="L8" s="75" t="b">
        <v>0</v>
      </c>
      <c r="M8" s="76"/>
      <c r="N8" s="76"/>
      <c r="O8" s="77"/>
      <c r="S8" s="102"/>
    </row>
    <row r="9" spans="2:19">
      <c r="C9" s="95"/>
      <c r="D9" s="12"/>
      <c r="E9" s="29" t="s">
        <v>1344</v>
      </c>
      <c r="F9" s="99" t="s">
        <v>1346</v>
      </c>
      <c r="G9" s="99" t="s">
        <v>425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/>
    </row>
    <row r="10" spans="2:19" ht="24">
      <c r="C10" s="95"/>
      <c r="D10" s="12"/>
      <c r="E10" s="29" t="s">
        <v>1344</v>
      </c>
      <c r="F10" s="99" t="s">
        <v>197</v>
      </c>
      <c r="G10" s="99" t="s">
        <v>1347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/>
    </row>
    <row r="11" spans="2:19" ht="72">
      <c r="C11" s="95"/>
      <c r="D11" s="12"/>
      <c r="E11" s="29" t="s">
        <v>1344</v>
      </c>
      <c r="F11" s="99" t="s">
        <v>1348</v>
      </c>
      <c r="G11" s="99" t="s">
        <v>1349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/>
    </row>
    <row r="12" spans="2:19" ht="24">
      <c r="C12" s="95"/>
      <c r="D12" s="12"/>
      <c r="E12" s="29" t="s">
        <v>1344</v>
      </c>
      <c r="F12" s="99" t="s">
        <v>201</v>
      </c>
      <c r="G12" s="99" t="s">
        <v>1350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/>
    </row>
    <row r="13" spans="2:19" ht="36">
      <c r="C13" s="95"/>
      <c r="D13" s="12"/>
      <c r="E13" s="29" t="s">
        <v>1344</v>
      </c>
      <c r="F13" s="99" t="s">
        <v>211</v>
      </c>
      <c r="G13" s="99" t="s">
        <v>1351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3"/>
    </row>
    <row r="14" spans="2:19" ht="24">
      <c r="C14" s="95"/>
      <c r="D14" s="12"/>
      <c r="E14" s="29" t="s">
        <v>1344</v>
      </c>
      <c r="F14" s="99" t="s">
        <v>214</v>
      </c>
      <c r="G14" s="99" t="s">
        <v>272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</row>
    <row r="15" spans="2:19" ht="24">
      <c r="C15" s="95"/>
      <c r="D15" s="12"/>
      <c r="E15" s="29" t="s">
        <v>1344</v>
      </c>
      <c r="F15" s="99" t="s">
        <v>218</v>
      </c>
      <c r="G15" s="99" t="s">
        <v>1352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</row>
    <row r="16" spans="2:19">
      <c r="C16" s="95"/>
      <c r="D16" s="12"/>
      <c r="E16" s="29" t="s">
        <v>1344</v>
      </c>
      <c r="F16" s="99" t="s">
        <v>1353</v>
      </c>
      <c r="G16" s="99" t="s">
        <v>425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</row>
    <row r="17" spans="3:15" ht="36">
      <c r="C17" s="95"/>
      <c r="D17" s="12"/>
      <c r="E17" s="29" t="s">
        <v>1344</v>
      </c>
      <c r="F17" s="99" t="s">
        <v>224</v>
      </c>
      <c r="G17" s="99" t="s">
        <v>1354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</row>
    <row r="18" spans="3:15" ht="36">
      <c r="C18" s="95"/>
      <c r="D18" s="12"/>
      <c r="E18" s="29" t="s">
        <v>1344</v>
      </c>
      <c r="F18" s="99" t="s">
        <v>1247</v>
      </c>
      <c r="G18" s="99" t="s">
        <v>1355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</row>
    <row r="19" spans="3:15" ht="24">
      <c r="C19" s="95"/>
      <c r="D19" s="12"/>
      <c r="E19" s="29" t="s">
        <v>1344</v>
      </c>
      <c r="F19" s="99" t="s">
        <v>230</v>
      </c>
      <c r="G19" s="99" t="s">
        <v>272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</row>
    <row r="20" spans="3:15">
      <c r="C20" s="95"/>
      <c r="D20" s="12"/>
      <c r="E20" s="29" t="s">
        <v>1344</v>
      </c>
      <c r="F20" s="99" t="s">
        <v>1248</v>
      </c>
      <c r="G20" s="99" t="s">
        <v>1356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</row>
    <row r="21" spans="3:15">
      <c r="C21" s="95"/>
      <c r="D21" s="12"/>
      <c r="E21" s="29" t="s">
        <v>1344</v>
      </c>
      <c r="F21" s="99" t="s">
        <v>1357</v>
      </c>
      <c r="G21" s="99" t="s">
        <v>425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</row>
    <row r="22" spans="3:15">
      <c r="C22" s="95"/>
      <c r="D22" s="12"/>
      <c r="E22" s="29" t="s">
        <v>1344</v>
      </c>
      <c r="F22" s="99" t="s">
        <v>1358</v>
      </c>
      <c r="G22" s="99" t="s">
        <v>425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</row>
    <row r="23" spans="3:15" ht="60">
      <c r="C23" s="95"/>
      <c r="D23" s="12"/>
      <c r="E23" s="29" t="s">
        <v>1344</v>
      </c>
      <c r="F23" s="99" t="s">
        <v>241</v>
      </c>
      <c r="G23" s="99" t="s">
        <v>1359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</row>
    <row r="24" spans="3:15" ht="60">
      <c r="C24" s="95"/>
      <c r="D24" s="12"/>
      <c r="E24" s="29" t="s">
        <v>1344</v>
      </c>
      <c r="F24" s="99" t="s">
        <v>245</v>
      </c>
      <c r="G24" s="99" t="s">
        <v>1360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</row>
    <row r="25" spans="3:15" ht="24">
      <c r="C25" s="95"/>
      <c r="D25" s="12"/>
      <c r="E25" s="29" t="s">
        <v>1344</v>
      </c>
      <c r="F25" s="99" t="s">
        <v>249</v>
      </c>
      <c r="G25" s="99" t="s">
        <v>1361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</row>
    <row r="26" spans="3:15" ht="96">
      <c r="C26" s="95"/>
      <c r="D26" s="12"/>
      <c r="E26" s="29" t="s">
        <v>1344</v>
      </c>
      <c r="F26" s="99" t="s">
        <v>252</v>
      </c>
      <c r="G26" s="99" t="s">
        <v>1362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</row>
    <row r="27" spans="3:15" ht="60">
      <c r="C27" s="95"/>
      <c r="D27" s="12"/>
      <c r="E27" s="29" t="s">
        <v>1344</v>
      </c>
      <c r="F27" s="99" t="s">
        <v>256</v>
      </c>
      <c r="G27" s="99" t="s">
        <v>1363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</row>
    <row r="28" spans="3:15" ht="36">
      <c r="C28" s="95"/>
      <c r="D28" s="12"/>
      <c r="E28" s="29" t="s">
        <v>1344</v>
      </c>
      <c r="F28" s="99" t="s">
        <v>260</v>
      </c>
      <c r="G28" s="99" t="s">
        <v>1364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</row>
    <row r="29" spans="3:15" ht="36">
      <c r="C29" s="95"/>
      <c r="D29" s="12"/>
      <c r="E29" s="29" t="s">
        <v>1344</v>
      </c>
      <c r="F29" s="99" t="s">
        <v>264</v>
      </c>
      <c r="G29" s="99" t="s">
        <v>1365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</row>
    <row r="30" spans="3:15" ht="24">
      <c r="C30" s="95"/>
      <c r="D30" s="12"/>
      <c r="E30" s="29" t="s">
        <v>1344</v>
      </c>
      <c r="F30" s="99" t="s">
        <v>268</v>
      </c>
      <c r="G30" s="99" t="s">
        <v>1366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</row>
    <row r="31" spans="3:15" ht="36">
      <c r="C31" s="95"/>
      <c r="D31" s="12"/>
      <c r="E31" s="29" t="s">
        <v>1344</v>
      </c>
      <c r="F31" s="99" t="s">
        <v>271</v>
      </c>
      <c r="G31" s="99" t="s">
        <v>1367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</row>
    <row r="32" spans="3:15" ht="24">
      <c r="C32" s="95"/>
      <c r="D32" s="12"/>
      <c r="E32" s="67" t="s">
        <v>1368</v>
      </c>
      <c r="F32" s="66" t="s">
        <v>796</v>
      </c>
      <c r="G32" s="66" t="s">
        <v>1369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</row>
    <row r="33" spans="3:15" ht="25.5">
      <c r="C33" s="95"/>
      <c r="D33" s="12"/>
      <c r="E33" s="67" t="s">
        <v>1368</v>
      </c>
      <c r="F33" s="66" t="s">
        <v>1370</v>
      </c>
      <c r="G33" s="67" t="s">
        <v>83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</row>
    <row r="34" spans="3:15">
      <c r="M34">
        <f>SUM(M8:M33)</f>
        <v>0</v>
      </c>
      <c r="N34">
        <f>SUM(N8:N33)</f>
        <v>0</v>
      </c>
      <c r="O34">
        <f>SUM(O8:O33)</f>
        <v>0</v>
      </c>
    </row>
  </sheetData>
  <mergeCells count="1">
    <mergeCell ref="B2:C2"/>
  </mergeCells>
  <conditionalFormatting sqref="S7:S13 C8:O33">
    <cfRule type="expression" dxfId="9" priority="5">
      <formula>MOD(ROW(),2)=1</formula>
    </cfRule>
  </conditionalFormatting>
  <conditionalFormatting sqref="C8:G33">
    <cfRule type="expression" dxfId="8" priority="3">
      <formula>MOD(ROW(),2)=19</formula>
    </cfRule>
  </conditionalFormatting>
  <dataValidations count="1">
    <dataValidation type="list" allowBlank="1" showInputMessage="1" showErrorMessage="1" sqref="D1:D1048576" xr:uid="{C474E43D-993F-4330-B70A-D0598D76031D}">
      <formula1>$S$7:$S$7</formula1>
    </dataValidation>
  </dataValidations>
  <hyperlinks>
    <hyperlink ref="B2:C2" location="MENU" display="MENU" xr:uid="{EBDF7E64-59D5-4E5C-842E-A6055A14DE5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CBC6-3D09-44F3-A9A4-BB8D509482CC}">
  <dimension ref="B2:S7"/>
  <sheetViews>
    <sheetView workbookViewId="0">
      <selection activeCell="B2" sqref="B2:C2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7" priority="1">
      <formula>MOD(ROW(),2)=1</formula>
    </cfRule>
  </conditionalFormatting>
  <dataValidations count="1">
    <dataValidation type="list" allowBlank="1" showInputMessage="1" showErrorMessage="1" sqref="D1:D1048576" xr:uid="{8F679A58-5A73-4947-AC81-7C4EFE885399}">
      <formula1>$S$7:$S$7</formula1>
    </dataValidation>
  </dataValidations>
  <hyperlinks>
    <hyperlink ref="B2:C2" location="MENU" display="MENU" xr:uid="{3445A054-D7CE-4456-8F40-3E67095C59C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4F31-11EC-4404-A685-BD5792D47865}">
  <dimension ref="B2:S7"/>
  <sheetViews>
    <sheetView workbookViewId="0">
      <selection activeCell="B2" sqref="B2:C2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</sheetData>
  <mergeCells count="1">
    <mergeCell ref="B2:C2"/>
  </mergeCells>
  <conditionalFormatting sqref="S7">
    <cfRule type="expression" dxfId="6" priority="1">
      <formula>MOD(ROW(),2)=1</formula>
    </cfRule>
  </conditionalFormatting>
  <dataValidations count="1">
    <dataValidation type="list" allowBlank="1" showInputMessage="1" showErrorMessage="1" sqref="D1:D1048576" xr:uid="{A2F92B26-517B-4917-859F-67A5A04DB3E8}">
      <formula1>$S$7:$S$7</formula1>
    </dataValidation>
  </dataValidations>
  <hyperlinks>
    <hyperlink ref="B2:C2" location="MENU" display="MENU" xr:uid="{8DD39DD2-2D11-48A2-B596-F269DA7A692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DBB2-7A1B-43F3-9E5F-21F2ACAD2D5F}">
  <dimension ref="B2:S141"/>
  <sheetViews>
    <sheetView topLeftCell="A136" workbookViewId="0">
      <selection activeCell="W140" sqref="W140"/>
    </sheetView>
  </sheetViews>
  <sheetFormatPr defaultRowHeight="15"/>
  <cols>
    <col min="3" max="3" width="17.85546875" style="92" customWidth="1"/>
    <col min="4" max="4" width="15.42578125" customWidth="1"/>
    <col min="5" max="5" width="17.140625" customWidth="1"/>
    <col min="6" max="6" width="9.28515625" bestFit="1" customWidth="1"/>
    <col min="8" max="8" width="23.7109375" customWidth="1"/>
    <col min="9" max="9" width="20.7109375" customWidth="1"/>
    <col min="10" max="11" width="14.7109375" customWidth="1"/>
    <col min="12" max="12" width="29.85546875" customWidth="1"/>
    <col min="19" max="19" width="18.42578125" hidden="1" customWidth="1"/>
  </cols>
  <sheetData>
    <row r="2" spans="2:19" ht="46.5">
      <c r="B2" s="211" t="s">
        <v>30</v>
      </c>
      <c r="C2" s="211"/>
    </row>
    <row r="7" spans="2:19" ht="75.75" customHeight="1">
      <c r="C7" s="93" t="s">
        <v>31</v>
      </c>
      <c r="D7" s="47" t="s">
        <v>32</v>
      </c>
      <c r="E7" s="23" t="s">
        <v>1086</v>
      </c>
      <c r="F7" s="21" t="s">
        <v>1082</v>
      </c>
      <c r="G7" s="21" t="s">
        <v>34</v>
      </c>
      <c r="H7" s="22" t="s">
        <v>25</v>
      </c>
      <c r="I7" s="22" t="s">
        <v>29</v>
      </c>
      <c r="J7" s="22" t="s">
        <v>35</v>
      </c>
      <c r="K7" s="22" t="s">
        <v>36</v>
      </c>
      <c r="L7" s="22" t="s">
        <v>37</v>
      </c>
      <c r="M7" s="23" t="s">
        <v>2</v>
      </c>
      <c r="N7" s="23" t="s">
        <v>3</v>
      </c>
      <c r="O7" s="24" t="s">
        <v>4</v>
      </c>
      <c r="S7" s="102" t="s">
        <v>51</v>
      </c>
    </row>
    <row r="8" spans="2:19" ht="27">
      <c r="C8" s="94"/>
      <c r="D8" s="48"/>
      <c r="E8" s="68" t="s">
        <v>1237</v>
      </c>
      <c r="F8" s="98" t="s">
        <v>184</v>
      </c>
      <c r="G8" s="98" t="s">
        <v>1238</v>
      </c>
      <c r="H8" s="72" t="b">
        <v>0</v>
      </c>
      <c r="I8" s="72" t="b">
        <v>0</v>
      </c>
      <c r="J8" s="72" t="b">
        <v>0</v>
      </c>
      <c r="K8" s="72" t="b">
        <v>0</v>
      </c>
      <c r="L8" s="72" t="b">
        <v>0</v>
      </c>
      <c r="M8" s="73"/>
      <c r="N8" s="73"/>
      <c r="O8" s="74"/>
      <c r="S8" s="102" t="s">
        <v>53</v>
      </c>
    </row>
    <row r="9" spans="2:19" ht="27">
      <c r="C9" s="95"/>
      <c r="D9" s="12"/>
      <c r="E9" s="29" t="s">
        <v>1237</v>
      </c>
      <c r="F9" s="32" t="s">
        <v>1239</v>
      </c>
      <c r="G9" s="32" t="s">
        <v>607</v>
      </c>
      <c r="H9" s="75" t="b">
        <v>0</v>
      </c>
      <c r="I9" s="75" t="b">
        <v>0</v>
      </c>
      <c r="J9" s="75" t="b">
        <v>0</v>
      </c>
      <c r="K9" s="75" t="b">
        <v>0</v>
      </c>
      <c r="L9" s="75" t="b">
        <v>0</v>
      </c>
      <c r="M9" s="76"/>
      <c r="N9" s="76"/>
      <c r="O9" s="77"/>
      <c r="S9" s="102" t="s">
        <v>56</v>
      </c>
    </row>
    <row r="10" spans="2:19" ht="27">
      <c r="C10" s="95"/>
      <c r="D10" s="12"/>
      <c r="E10" s="29" t="s">
        <v>1237</v>
      </c>
      <c r="F10" s="32" t="s">
        <v>190</v>
      </c>
      <c r="G10" s="32" t="s">
        <v>272</v>
      </c>
      <c r="H10" s="75" t="b">
        <v>0</v>
      </c>
      <c r="I10" s="75" t="b">
        <v>0</v>
      </c>
      <c r="J10" s="75" t="b">
        <v>0</v>
      </c>
      <c r="K10" s="75" t="b">
        <v>0</v>
      </c>
      <c r="L10" s="75" t="b">
        <v>0</v>
      </c>
      <c r="M10" s="76"/>
      <c r="N10" s="76"/>
      <c r="O10" s="77"/>
      <c r="S10" s="102" t="s">
        <v>59</v>
      </c>
    </row>
    <row r="11" spans="2:19" ht="36">
      <c r="C11" s="95"/>
      <c r="D11" s="12"/>
      <c r="E11" s="29" t="s">
        <v>1237</v>
      </c>
      <c r="F11" s="32" t="s">
        <v>1240</v>
      </c>
      <c r="G11" s="32" t="s">
        <v>1241</v>
      </c>
      <c r="H11" s="75" t="b">
        <v>0</v>
      </c>
      <c r="I11" s="75" t="b">
        <v>0</v>
      </c>
      <c r="J11" s="75" t="b">
        <v>0</v>
      </c>
      <c r="K11" s="75" t="b">
        <v>0</v>
      </c>
      <c r="L11" s="75" t="b">
        <v>0</v>
      </c>
      <c r="M11" s="76"/>
      <c r="N11" s="76"/>
      <c r="O11" s="77"/>
      <c r="S11" s="102" t="s">
        <v>62</v>
      </c>
    </row>
    <row r="12" spans="2:19" ht="27">
      <c r="C12" s="95"/>
      <c r="D12" s="12"/>
      <c r="E12" s="29" t="s">
        <v>1237</v>
      </c>
      <c r="F12" s="32" t="s">
        <v>195</v>
      </c>
      <c r="G12" s="32" t="s">
        <v>215</v>
      </c>
      <c r="H12" s="75" t="b">
        <v>0</v>
      </c>
      <c r="I12" s="75" t="b">
        <v>0</v>
      </c>
      <c r="J12" s="75" t="b">
        <v>0</v>
      </c>
      <c r="K12" s="75" t="b">
        <v>0</v>
      </c>
      <c r="L12" s="75" t="b">
        <v>0</v>
      </c>
      <c r="M12" s="76"/>
      <c r="N12" s="76"/>
      <c r="O12" s="77"/>
      <c r="S12" s="102" t="s">
        <v>66</v>
      </c>
    </row>
    <row r="13" spans="2:19" ht="27">
      <c r="C13" s="95"/>
      <c r="D13" s="12"/>
      <c r="E13" s="29" t="s">
        <v>1237</v>
      </c>
      <c r="F13" s="32" t="s">
        <v>1242</v>
      </c>
      <c r="G13" s="32" t="s">
        <v>1243</v>
      </c>
      <c r="H13" s="75" t="b">
        <v>0</v>
      </c>
      <c r="I13" s="75" t="b">
        <v>0</v>
      </c>
      <c r="J13" s="75" t="b">
        <v>0</v>
      </c>
      <c r="K13" s="75" t="b">
        <v>0</v>
      </c>
      <c r="L13" s="75" t="b">
        <v>0</v>
      </c>
      <c r="M13" s="76"/>
      <c r="N13" s="76"/>
      <c r="O13" s="77"/>
      <c r="S13" s="102" t="s">
        <v>69</v>
      </c>
    </row>
    <row r="14" spans="2:19" ht="27">
      <c r="C14" s="95"/>
      <c r="D14" s="12"/>
      <c r="E14" s="29" t="s">
        <v>1237</v>
      </c>
      <c r="F14" s="32" t="s">
        <v>199</v>
      </c>
      <c r="G14" s="32" t="s">
        <v>1244</v>
      </c>
      <c r="H14" s="75" t="b">
        <v>0</v>
      </c>
      <c r="I14" s="75" t="b">
        <v>0</v>
      </c>
      <c r="J14" s="75" t="b">
        <v>0</v>
      </c>
      <c r="K14" s="75" t="b">
        <v>0</v>
      </c>
      <c r="L14" s="75" t="b">
        <v>0</v>
      </c>
      <c r="M14" s="76"/>
      <c r="N14" s="76"/>
      <c r="O14" s="77"/>
      <c r="S14" s="102" t="s">
        <v>72</v>
      </c>
    </row>
    <row r="15" spans="2:19" ht="27">
      <c r="C15" s="95"/>
      <c r="D15" s="12"/>
      <c r="E15" s="29" t="s">
        <v>1237</v>
      </c>
      <c r="F15" s="32" t="s">
        <v>209</v>
      </c>
      <c r="G15" s="32" t="s">
        <v>1243</v>
      </c>
      <c r="H15" s="75" t="b">
        <v>0</v>
      </c>
      <c r="I15" s="75" t="b">
        <v>0</v>
      </c>
      <c r="J15" s="75" t="b">
        <v>0</v>
      </c>
      <c r="K15" s="75" t="b">
        <v>0</v>
      </c>
      <c r="L15" s="75" t="b">
        <v>0</v>
      </c>
      <c r="M15" s="76"/>
      <c r="N15" s="76"/>
      <c r="O15" s="77"/>
      <c r="S15" s="102" t="s">
        <v>75</v>
      </c>
    </row>
    <row r="16" spans="2:19" ht="27">
      <c r="C16" s="95"/>
      <c r="D16" s="12"/>
      <c r="E16" s="29" t="s">
        <v>1237</v>
      </c>
      <c r="F16" s="32" t="s">
        <v>1245</v>
      </c>
      <c r="G16" s="32" t="s">
        <v>1244</v>
      </c>
      <c r="H16" s="75" t="b">
        <v>0</v>
      </c>
      <c r="I16" s="75" t="b">
        <v>0</v>
      </c>
      <c r="J16" s="75" t="b">
        <v>0</v>
      </c>
      <c r="K16" s="75" t="b">
        <v>0</v>
      </c>
      <c r="L16" s="75" t="b">
        <v>0</v>
      </c>
      <c r="M16" s="76"/>
      <c r="N16" s="76"/>
      <c r="O16" s="77"/>
      <c r="S16" s="102" t="s">
        <v>78</v>
      </c>
    </row>
    <row r="17" spans="3:19" ht="27">
      <c r="C17" s="95"/>
      <c r="D17" s="12"/>
      <c r="E17" s="29" t="s">
        <v>1237</v>
      </c>
      <c r="F17" s="32" t="s">
        <v>216</v>
      </c>
      <c r="G17" s="32" t="s">
        <v>1244</v>
      </c>
      <c r="H17" s="75" t="b">
        <v>0</v>
      </c>
      <c r="I17" s="75" t="b">
        <v>0</v>
      </c>
      <c r="J17" s="75" t="b">
        <v>0</v>
      </c>
      <c r="K17" s="75" t="b">
        <v>0</v>
      </c>
      <c r="L17" s="75" t="b">
        <v>0</v>
      </c>
      <c r="M17" s="76"/>
      <c r="N17" s="76"/>
      <c r="O17" s="77"/>
      <c r="S17" s="102" t="s">
        <v>81</v>
      </c>
    </row>
    <row r="18" spans="3:19" ht="36">
      <c r="C18" s="95"/>
      <c r="D18" s="12"/>
      <c r="E18" s="29" t="s">
        <v>1237</v>
      </c>
      <c r="F18" s="32" t="s">
        <v>220</v>
      </c>
      <c r="G18" s="32" t="s">
        <v>1246</v>
      </c>
      <c r="H18" s="75" t="b">
        <v>0</v>
      </c>
      <c r="I18" s="75" t="b">
        <v>0</v>
      </c>
      <c r="J18" s="75" t="b">
        <v>0</v>
      </c>
      <c r="K18" s="75" t="b">
        <v>0</v>
      </c>
      <c r="L18" s="75" t="b">
        <v>0</v>
      </c>
      <c r="M18" s="76"/>
      <c r="N18" s="76"/>
      <c r="O18" s="77"/>
      <c r="S18" s="102" t="s">
        <v>63</v>
      </c>
    </row>
    <row r="19" spans="3:19" ht="27">
      <c r="C19" s="95"/>
      <c r="D19" s="12"/>
      <c r="E19" s="29" t="s">
        <v>1237</v>
      </c>
      <c r="F19" s="32" t="s">
        <v>224</v>
      </c>
      <c r="G19" s="29" t="s">
        <v>1243</v>
      </c>
      <c r="H19" s="75" t="b">
        <v>0</v>
      </c>
      <c r="I19" s="75" t="b">
        <v>0</v>
      </c>
      <c r="J19" s="75" t="b">
        <v>0</v>
      </c>
      <c r="K19" s="75" t="b">
        <v>0</v>
      </c>
      <c r="L19" s="75" t="b">
        <v>0</v>
      </c>
      <c r="M19" s="76"/>
      <c r="N19" s="76"/>
      <c r="O19" s="77"/>
      <c r="S19" s="102" t="s">
        <v>85</v>
      </c>
    </row>
    <row r="20" spans="3:19" ht="27">
      <c r="C20" s="95"/>
      <c r="D20" s="12"/>
      <c r="E20" s="29" t="s">
        <v>1237</v>
      </c>
      <c r="F20" s="32" t="s">
        <v>1247</v>
      </c>
      <c r="G20" s="29" t="s">
        <v>1243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6"/>
      <c r="N20" s="76"/>
      <c r="O20" s="77"/>
      <c r="S20" s="102" t="s">
        <v>88</v>
      </c>
    </row>
    <row r="21" spans="3:19" ht="27">
      <c r="C21" s="95"/>
      <c r="D21" s="12"/>
      <c r="E21" s="29" t="s">
        <v>1237</v>
      </c>
      <c r="F21" s="32" t="s">
        <v>230</v>
      </c>
      <c r="G21" s="29" t="s">
        <v>272</v>
      </c>
      <c r="H21" s="75" t="b">
        <v>0</v>
      </c>
      <c r="I21" s="75" t="b">
        <v>0</v>
      </c>
      <c r="J21" s="75" t="b">
        <v>0</v>
      </c>
      <c r="K21" s="75" t="b">
        <v>0</v>
      </c>
      <c r="L21" s="75" t="b">
        <v>0</v>
      </c>
      <c r="M21" s="76"/>
      <c r="N21" s="76"/>
      <c r="O21" s="77"/>
      <c r="S21" s="102" t="s">
        <v>91</v>
      </c>
    </row>
    <row r="22" spans="3:19" ht="27">
      <c r="C22" s="95"/>
      <c r="D22" s="12"/>
      <c r="E22" s="29" t="s">
        <v>1237</v>
      </c>
      <c r="F22" s="32" t="s">
        <v>1248</v>
      </c>
      <c r="G22" s="29" t="s">
        <v>93</v>
      </c>
      <c r="H22" s="75" t="b">
        <v>0</v>
      </c>
      <c r="I22" s="75" t="b">
        <v>0</v>
      </c>
      <c r="J22" s="75" t="b">
        <v>0</v>
      </c>
      <c r="K22" s="75" t="b">
        <v>0</v>
      </c>
      <c r="L22" s="75" t="b">
        <v>0</v>
      </c>
      <c r="M22" s="76"/>
      <c r="N22" s="76"/>
      <c r="O22" s="77"/>
      <c r="S22" s="102" t="s">
        <v>94</v>
      </c>
    </row>
    <row r="23" spans="3:19" ht="27">
      <c r="C23" s="95"/>
      <c r="D23" s="12"/>
      <c r="E23" s="29" t="s">
        <v>1237</v>
      </c>
      <c r="F23" s="32" t="s">
        <v>237</v>
      </c>
      <c r="G23" s="29" t="s">
        <v>1249</v>
      </c>
      <c r="H23" s="75" t="b">
        <v>0</v>
      </c>
      <c r="I23" s="75" t="b">
        <v>0</v>
      </c>
      <c r="J23" s="75" t="b">
        <v>0</v>
      </c>
      <c r="K23" s="75" t="b">
        <v>0</v>
      </c>
      <c r="L23" s="75" t="b">
        <v>0</v>
      </c>
      <c r="M23" s="76"/>
      <c r="N23" s="76"/>
      <c r="O23" s="77"/>
      <c r="S23" s="102"/>
    </row>
    <row r="24" spans="3:19" ht="40.5">
      <c r="C24" s="95"/>
      <c r="D24" s="12"/>
      <c r="E24" s="29" t="s">
        <v>1237</v>
      </c>
      <c r="F24" s="32" t="s">
        <v>241</v>
      </c>
      <c r="G24" s="29" t="s">
        <v>1250</v>
      </c>
      <c r="H24" s="75" t="b">
        <v>0</v>
      </c>
      <c r="I24" s="75" t="b">
        <v>0</v>
      </c>
      <c r="J24" s="75" t="b">
        <v>0</v>
      </c>
      <c r="K24" s="75" t="b">
        <v>0</v>
      </c>
      <c r="L24" s="75" t="b">
        <v>0</v>
      </c>
      <c r="M24" s="76"/>
      <c r="N24" s="76"/>
      <c r="O24" s="77"/>
      <c r="S24" s="102"/>
    </row>
    <row r="25" spans="3:19" ht="40.5">
      <c r="C25" s="95"/>
      <c r="D25" s="12"/>
      <c r="E25" s="29" t="s">
        <v>1237</v>
      </c>
      <c r="F25" s="32" t="s">
        <v>245</v>
      </c>
      <c r="G25" s="29" t="s">
        <v>1251</v>
      </c>
      <c r="H25" s="75" t="b">
        <v>0</v>
      </c>
      <c r="I25" s="75" t="b">
        <v>0</v>
      </c>
      <c r="J25" s="75" t="b">
        <v>0</v>
      </c>
      <c r="K25" s="75" t="b">
        <v>0</v>
      </c>
      <c r="L25" s="75" t="b">
        <v>0</v>
      </c>
      <c r="M25" s="76"/>
      <c r="N25" s="76"/>
      <c r="O25" s="77"/>
      <c r="S25" s="102"/>
    </row>
    <row r="26" spans="3:19" ht="40.5">
      <c r="C26" s="95"/>
      <c r="D26" s="12"/>
      <c r="E26" s="29" t="s">
        <v>1237</v>
      </c>
      <c r="F26" s="32" t="s">
        <v>249</v>
      </c>
      <c r="G26" s="29" t="s">
        <v>1252</v>
      </c>
      <c r="H26" s="75" t="b">
        <v>0</v>
      </c>
      <c r="I26" s="75" t="b">
        <v>0</v>
      </c>
      <c r="J26" s="75" t="b">
        <v>0</v>
      </c>
      <c r="K26" s="75" t="b">
        <v>0</v>
      </c>
      <c r="L26" s="75" t="b">
        <v>0</v>
      </c>
      <c r="M26" s="76"/>
      <c r="N26" s="76"/>
      <c r="O26" s="77"/>
      <c r="S26" s="102"/>
    </row>
    <row r="27" spans="3:19" ht="27">
      <c r="C27" s="95"/>
      <c r="D27" s="12"/>
      <c r="E27" s="29" t="s">
        <v>1237</v>
      </c>
      <c r="F27" s="32" t="s">
        <v>252</v>
      </c>
      <c r="G27" s="29" t="s">
        <v>719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6"/>
      <c r="N27" s="76"/>
      <c r="O27" s="77"/>
      <c r="S27" s="102"/>
    </row>
    <row r="28" spans="3:19" ht="27">
      <c r="C28" s="95"/>
      <c r="D28" s="12"/>
      <c r="E28" s="29" t="s">
        <v>1237</v>
      </c>
      <c r="F28" s="32" t="s">
        <v>256</v>
      </c>
      <c r="G28" s="29" t="s">
        <v>1253</v>
      </c>
      <c r="H28" s="75" t="b">
        <v>0</v>
      </c>
      <c r="I28" s="75" t="b">
        <v>0</v>
      </c>
      <c r="J28" s="75" t="b">
        <v>0</v>
      </c>
      <c r="K28" s="75" t="b">
        <v>0</v>
      </c>
      <c r="L28" s="75" t="b">
        <v>0</v>
      </c>
      <c r="M28" s="76"/>
      <c r="N28" s="76"/>
      <c r="O28" s="77"/>
      <c r="S28" s="102"/>
    </row>
    <row r="29" spans="3:19" ht="27">
      <c r="C29" s="95"/>
      <c r="D29" s="12"/>
      <c r="E29" s="29" t="s">
        <v>1237</v>
      </c>
      <c r="F29" s="32" t="s">
        <v>260</v>
      </c>
      <c r="G29" s="29" t="s">
        <v>272</v>
      </c>
      <c r="H29" s="75" t="b">
        <v>0</v>
      </c>
      <c r="I29" s="75" t="b">
        <v>0</v>
      </c>
      <c r="J29" s="75" t="b">
        <v>0</v>
      </c>
      <c r="K29" s="75" t="b">
        <v>0</v>
      </c>
      <c r="L29" s="75" t="b">
        <v>0</v>
      </c>
      <c r="M29" s="76"/>
      <c r="N29" s="76"/>
      <c r="O29" s="77"/>
      <c r="S29" s="102"/>
    </row>
    <row r="30" spans="3:19" ht="67.5">
      <c r="C30" s="95"/>
      <c r="D30" s="12"/>
      <c r="E30" s="29" t="s">
        <v>1237</v>
      </c>
      <c r="F30" s="32" t="s">
        <v>264</v>
      </c>
      <c r="G30" s="29" t="s">
        <v>1254</v>
      </c>
      <c r="H30" s="75" t="b">
        <v>0</v>
      </c>
      <c r="I30" s="75" t="b">
        <v>0</v>
      </c>
      <c r="J30" s="75" t="b">
        <v>0</v>
      </c>
      <c r="K30" s="75" t="b">
        <v>0</v>
      </c>
      <c r="L30" s="75" t="b">
        <v>0</v>
      </c>
      <c r="M30" s="76"/>
      <c r="N30" s="76"/>
      <c r="O30" s="77"/>
      <c r="S30" s="102"/>
    </row>
    <row r="31" spans="3:19" ht="53.25">
      <c r="C31" s="95"/>
      <c r="D31" s="12"/>
      <c r="E31" s="29" t="s">
        <v>1237</v>
      </c>
      <c r="F31" s="32" t="s">
        <v>268</v>
      </c>
      <c r="G31" s="29" t="s">
        <v>1255</v>
      </c>
      <c r="H31" s="75" t="b">
        <v>0</v>
      </c>
      <c r="I31" s="75" t="b">
        <v>0</v>
      </c>
      <c r="J31" s="75" t="b">
        <v>0</v>
      </c>
      <c r="K31" s="75" t="b">
        <v>0</v>
      </c>
      <c r="L31" s="75" t="b">
        <v>0</v>
      </c>
      <c r="M31" s="76"/>
      <c r="N31" s="76"/>
      <c r="O31" s="77"/>
      <c r="S31" s="102"/>
    </row>
    <row r="32" spans="3:19" ht="36">
      <c r="C32" s="95"/>
      <c r="D32" s="12"/>
      <c r="E32" s="29" t="s">
        <v>1344</v>
      </c>
      <c r="F32" s="99" t="s">
        <v>188</v>
      </c>
      <c r="G32" s="99" t="s">
        <v>1371</v>
      </c>
      <c r="H32" s="75" t="b">
        <v>0</v>
      </c>
      <c r="I32" s="75" t="b">
        <v>0</v>
      </c>
      <c r="J32" s="75" t="b">
        <v>0</v>
      </c>
      <c r="K32" s="75" t="b">
        <v>0</v>
      </c>
      <c r="L32" s="75" t="b">
        <v>0</v>
      </c>
      <c r="M32" s="76"/>
      <c r="N32" s="76"/>
      <c r="O32" s="77"/>
      <c r="S32" s="102"/>
    </row>
    <row r="33" spans="3:19" ht="36">
      <c r="C33" s="95"/>
      <c r="D33" s="12"/>
      <c r="E33" s="29" t="s">
        <v>1344</v>
      </c>
      <c r="F33" s="99" t="s">
        <v>192</v>
      </c>
      <c r="G33" s="99" t="s">
        <v>1372</v>
      </c>
      <c r="H33" s="75" t="b">
        <v>0</v>
      </c>
      <c r="I33" s="75" t="b">
        <v>0</v>
      </c>
      <c r="J33" s="75" t="b">
        <v>0</v>
      </c>
      <c r="K33" s="75" t="b">
        <v>0</v>
      </c>
      <c r="L33" s="75" t="b">
        <v>0</v>
      </c>
      <c r="M33" s="76"/>
      <c r="N33" s="76"/>
      <c r="O33" s="77"/>
      <c r="S33" s="102"/>
    </row>
    <row r="34" spans="3:19" ht="60">
      <c r="C34" s="95"/>
      <c r="D34" s="12"/>
      <c r="E34" s="29" t="s">
        <v>1344</v>
      </c>
      <c r="F34" s="99" t="s">
        <v>1240</v>
      </c>
      <c r="G34" s="99" t="s">
        <v>1345</v>
      </c>
      <c r="H34" s="75" t="b">
        <v>0</v>
      </c>
      <c r="I34" s="75" t="b">
        <v>0</v>
      </c>
      <c r="J34" s="75" t="b">
        <v>0</v>
      </c>
      <c r="K34" s="75" t="b">
        <v>0</v>
      </c>
      <c r="L34" s="75" t="b">
        <v>0</v>
      </c>
      <c r="M34" s="76"/>
      <c r="N34" s="76"/>
      <c r="O34" s="77"/>
      <c r="S34" s="102"/>
    </row>
    <row r="35" spans="3:19" ht="27">
      <c r="C35" s="95"/>
      <c r="D35" s="12"/>
      <c r="E35" s="29" t="s">
        <v>1344</v>
      </c>
      <c r="F35" s="99" t="s">
        <v>1346</v>
      </c>
      <c r="G35" s="99" t="s">
        <v>425</v>
      </c>
      <c r="H35" s="75" t="b">
        <v>0</v>
      </c>
      <c r="I35" s="75" t="b">
        <v>0</v>
      </c>
      <c r="J35" s="75" t="b">
        <v>0</v>
      </c>
      <c r="K35" s="75" t="b">
        <v>0</v>
      </c>
      <c r="L35" s="75" t="b">
        <v>0</v>
      </c>
      <c r="M35" s="76"/>
      <c r="N35" s="76"/>
      <c r="O35" s="77"/>
      <c r="S35" s="102"/>
    </row>
    <row r="36" spans="3:19" ht="27">
      <c r="C36" s="95"/>
      <c r="D36" s="12"/>
      <c r="E36" s="29" t="s">
        <v>1344</v>
      </c>
      <c r="F36" s="99" t="s">
        <v>197</v>
      </c>
      <c r="G36" s="99" t="s">
        <v>1347</v>
      </c>
      <c r="H36" s="75" t="b">
        <v>0</v>
      </c>
      <c r="I36" s="75" t="b">
        <v>0</v>
      </c>
      <c r="J36" s="75" t="b">
        <v>0</v>
      </c>
      <c r="K36" s="75" t="b">
        <v>0</v>
      </c>
      <c r="L36" s="75" t="b">
        <v>0</v>
      </c>
      <c r="M36" s="76"/>
      <c r="N36" s="76"/>
      <c r="O36" s="77"/>
      <c r="S36" s="102"/>
    </row>
    <row r="37" spans="3:19" ht="72">
      <c r="C37" s="95"/>
      <c r="D37" s="12"/>
      <c r="E37" s="29" t="s">
        <v>1344</v>
      </c>
      <c r="F37" s="99" t="s">
        <v>1348</v>
      </c>
      <c r="G37" s="99" t="s">
        <v>1349</v>
      </c>
      <c r="H37" s="75" t="b">
        <v>0</v>
      </c>
      <c r="I37" s="75" t="b">
        <v>0</v>
      </c>
      <c r="J37" s="75" t="b">
        <v>0</v>
      </c>
      <c r="K37" s="75" t="b">
        <v>0</v>
      </c>
      <c r="L37" s="75" t="b">
        <v>0</v>
      </c>
      <c r="M37" s="76"/>
      <c r="N37" s="76"/>
      <c r="O37" s="77"/>
      <c r="S37" s="102"/>
    </row>
    <row r="38" spans="3:19" ht="27">
      <c r="C38" s="95"/>
      <c r="D38" s="12"/>
      <c r="E38" s="29" t="s">
        <v>1344</v>
      </c>
      <c r="F38" s="99" t="s">
        <v>201</v>
      </c>
      <c r="G38" s="99" t="s">
        <v>1350</v>
      </c>
      <c r="H38" s="75" t="b">
        <v>0</v>
      </c>
      <c r="I38" s="75" t="b">
        <v>0</v>
      </c>
      <c r="J38" s="75" t="b">
        <v>0</v>
      </c>
      <c r="K38" s="75" t="b">
        <v>0</v>
      </c>
      <c r="L38" s="75" t="b">
        <v>0</v>
      </c>
      <c r="M38" s="76"/>
      <c r="N38" s="76"/>
      <c r="O38" s="77"/>
      <c r="S38" s="102"/>
    </row>
    <row r="39" spans="3:19" ht="36">
      <c r="C39" s="95"/>
      <c r="D39" s="12"/>
      <c r="E39" s="29" t="s">
        <v>1344</v>
      </c>
      <c r="F39" s="99" t="s">
        <v>211</v>
      </c>
      <c r="G39" s="99" t="s">
        <v>1351</v>
      </c>
      <c r="H39" s="75" t="b">
        <v>0</v>
      </c>
      <c r="I39" s="75" t="b">
        <v>0</v>
      </c>
      <c r="J39" s="75" t="b">
        <v>0</v>
      </c>
      <c r="K39" s="75" t="b">
        <v>0</v>
      </c>
      <c r="L39" s="75" t="b">
        <v>0</v>
      </c>
      <c r="M39" s="76"/>
      <c r="N39" s="76"/>
      <c r="O39" s="77"/>
      <c r="S39" s="103"/>
    </row>
    <row r="40" spans="3:19" ht="27">
      <c r="C40" s="95"/>
      <c r="D40" s="12"/>
      <c r="E40" s="29" t="s">
        <v>1344</v>
      </c>
      <c r="F40" s="99" t="s">
        <v>214</v>
      </c>
      <c r="G40" s="99" t="s">
        <v>272</v>
      </c>
      <c r="H40" s="75" t="b">
        <v>0</v>
      </c>
      <c r="I40" s="75" t="b">
        <v>0</v>
      </c>
      <c r="J40" s="75" t="b">
        <v>0</v>
      </c>
      <c r="K40" s="75" t="b">
        <v>0</v>
      </c>
      <c r="L40" s="75" t="b">
        <v>0</v>
      </c>
      <c r="M40" s="76"/>
      <c r="N40" s="76"/>
      <c r="O40" s="77"/>
    </row>
    <row r="41" spans="3:19" ht="27">
      <c r="C41" s="95"/>
      <c r="D41" s="12"/>
      <c r="E41" s="29" t="s">
        <v>1344</v>
      </c>
      <c r="F41" s="99" t="s">
        <v>218</v>
      </c>
      <c r="G41" s="99" t="s">
        <v>1352</v>
      </c>
      <c r="H41" s="75" t="b">
        <v>0</v>
      </c>
      <c r="I41" s="75" t="b">
        <v>0</v>
      </c>
      <c r="J41" s="75" t="b">
        <v>0</v>
      </c>
      <c r="K41" s="75" t="b">
        <v>0</v>
      </c>
      <c r="L41" s="75" t="b">
        <v>0</v>
      </c>
      <c r="M41" s="76"/>
      <c r="N41" s="76"/>
      <c r="O41" s="77"/>
    </row>
    <row r="42" spans="3:19" ht="27">
      <c r="C42" s="95"/>
      <c r="D42" s="12"/>
      <c r="E42" s="29" t="s">
        <v>1344</v>
      </c>
      <c r="F42" s="99" t="s">
        <v>1353</v>
      </c>
      <c r="G42" s="99" t="s">
        <v>425</v>
      </c>
      <c r="H42" s="75" t="b">
        <v>0</v>
      </c>
      <c r="I42" s="75" t="b">
        <v>0</v>
      </c>
      <c r="J42" s="75" t="b">
        <v>0</v>
      </c>
      <c r="K42" s="75" t="b">
        <v>0</v>
      </c>
      <c r="L42" s="75" t="b">
        <v>0</v>
      </c>
      <c r="M42" s="76"/>
      <c r="N42" s="76"/>
      <c r="O42" s="77"/>
    </row>
    <row r="43" spans="3:19" ht="36">
      <c r="C43" s="95"/>
      <c r="D43" s="12"/>
      <c r="E43" s="29" t="s">
        <v>1344</v>
      </c>
      <c r="F43" s="99" t="s">
        <v>224</v>
      </c>
      <c r="G43" s="99" t="s">
        <v>1354</v>
      </c>
      <c r="H43" s="75" t="b">
        <v>0</v>
      </c>
      <c r="I43" s="75" t="b">
        <v>0</v>
      </c>
      <c r="J43" s="75" t="b">
        <v>0</v>
      </c>
      <c r="K43" s="75" t="b">
        <v>0</v>
      </c>
      <c r="L43" s="75" t="b">
        <v>0</v>
      </c>
      <c r="M43" s="76"/>
      <c r="N43" s="76"/>
      <c r="O43" s="77"/>
    </row>
    <row r="44" spans="3:19" ht="36">
      <c r="C44" s="95"/>
      <c r="D44" s="12"/>
      <c r="E44" s="29" t="s">
        <v>1344</v>
      </c>
      <c r="F44" s="99" t="s">
        <v>1247</v>
      </c>
      <c r="G44" s="99" t="s">
        <v>1355</v>
      </c>
      <c r="H44" s="75" t="b">
        <v>0</v>
      </c>
      <c r="I44" s="75" t="b">
        <v>0</v>
      </c>
      <c r="J44" s="75" t="b">
        <v>0</v>
      </c>
      <c r="K44" s="75" t="b">
        <v>0</v>
      </c>
      <c r="L44" s="75" t="b">
        <v>0</v>
      </c>
      <c r="M44" s="76"/>
      <c r="N44" s="76"/>
      <c r="O44" s="77"/>
    </row>
    <row r="45" spans="3:19" ht="27">
      <c r="C45" s="95"/>
      <c r="D45" s="12"/>
      <c r="E45" s="29" t="s">
        <v>1344</v>
      </c>
      <c r="F45" s="99" t="s">
        <v>230</v>
      </c>
      <c r="G45" s="99" t="s">
        <v>272</v>
      </c>
      <c r="H45" s="75" t="b">
        <v>0</v>
      </c>
      <c r="I45" s="75" t="b">
        <v>0</v>
      </c>
      <c r="J45" s="75" t="b">
        <v>0</v>
      </c>
      <c r="K45" s="75" t="b">
        <v>0</v>
      </c>
      <c r="L45" s="75" t="b">
        <v>0</v>
      </c>
      <c r="M45" s="76"/>
      <c r="N45" s="76"/>
      <c r="O45" s="77"/>
    </row>
    <row r="46" spans="3:19" ht="27">
      <c r="C46" s="95"/>
      <c r="D46" s="12"/>
      <c r="E46" s="29" t="s">
        <v>1344</v>
      </c>
      <c r="F46" s="99" t="s">
        <v>1248</v>
      </c>
      <c r="G46" s="99" t="s">
        <v>1356</v>
      </c>
      <c r="H46" s="75" t="b">
        <v>0</v>
      </c>
      <c r="I46" s="75" t="b">
        <v>0</v>
      </c>
      <c r="J46" s="75" t="b">
        <v>0</v>
      </c>
      <c r="K46" s="75" t="b">
        <v>0</v>
      </c>
      <c r="L46" s="75" t="b">
        <v>0</v>
      </c>
      <c r="M46" s="76"/>
      <c r="N46" s="76"/>
      <c r="O46" s="77"/>
    </row>
    <row r="47" spans="3:19" ht="27">
      <c r="C47" s="95"/>
      <c r="D47" s="12"/>
      <c r="E47" s="29" t="s">
        <v>1344</v>
      </c>
      <c r="F47" s="99" t="s">
        <v>1357</v>
      </c>
      <c r="G47" s="99" t="s">
        <v>425</v>
      </c>
      <c r="H47" s="75" t="b">
        <v>0</v>
      </c>
      <c r="I47" s="75" t="b">
        <v>0</v>
      </c>
      <c r="J47" s="75" t="b">
        <v>0</v>
      </c>
      <c r="K47" s="75" t="b">
        <v>0</v>
      </c>
      <c r="L47" s="75" t="b">
        <v>0</v>
      </c>
      <c r="M47" s="76"/>
      <c r="N47" s="76"/>
      <c r="O47" s="77"/>
    </row>
    <row r="48" spans="3:19" ht="27">
      <c r="C48" s="95"/>
      <c r="D48" s="12"/>
      <c r="E48" s="29" t="s">
        <v>1344</v>
      </c>
      <c r="F48" s="99" t="s">
        <v>1358</v>
      </c>
      <c r="G48" s="99" t="s">
        <v>425</v>
      </c>
      <c r="H48" s="75" t="b">
        <v>0</v>
      </c>
      <c r="I48" s="75" t="b">
        <v>0</v>
      </c>
      <c r="J48" s="75" t="b">
        <v>0</v>
      </c>
      <c r="K48" s="75" t="b">
        <v>0</v>
      </c>
      <c r="L48" s="75" t="b">
        <v>0</v>
      </c>
      <c r="M48" s="76"/>
      <c r="N48" s="76"/>
      <c r="O48" s="77"/>
    </row>
    <row r="49" spans="3:15" ht="60">
      <c r="C49" s="95"/>
      <c r="D49" s="12"/>
      <c r="E49" s="29" t="s">
        <v>1344</v>
      </c>
      <c r="F49" s="99" t="s">
        <v>241</v>
      </c>
      <c r="G49" s="99" t="s">
        <v>1359</v>
      </c>
      <c r="H49" s="75" t="b">
        <v>0</v>
      </c>
      <c r="I49" s="75" t="b">
        <v>0</v>
      </c>
      <c r="J49" s="75" t="b">
        <v>0</v>
      </c>
      <c r="K49" s="75" t="b">
        <v>0</v>
      </c>
      <c r="L49" s="75" t="b">
        <v>0</v>
      </c>
      <c r="M49" s="76"/>
      <c r="N49" s="76"/>
      <c r="O49" s="77"/>
    </row>
    <row r="50" spans="3:15" ht="60">
      <c r="C50" s="95"/>
      <c r="D50" s="12"/>
      <c r="E50" s="29" t="s">
        <v>1344</v>
      </c>
      <c r="F50" s="99" t="s">
        <v>245</v>
      </c>
      <c r="G50" s="99" t="s">
        <v>1360</v>
      </c>
      <c r="H50" s="75" t="b">
        <v>0</v>
      </c>
      <c r="I50" s="75" t="b">
        <v>0</v>
      </c>
      <c r="J50" s="75" t="b">
        <v>0</v>
      </c>
      <c r="K50" s="75" t="b">
        <v>0</v>
      </c>
      <c r="L50" s="75" t="b">
        <v>0</v>
      </c>
      <c r="M50" s="76"/>
      <c r="N50" s="76"/>
      <c r="O50" s="77"/>
    </row>
    <row r="51" spans="3:15" ht="27">
      <c r="C51" s="95"/>
      <c r="D51" s="12"/>
      <c r="E51" s="29" t="s">
        <v>1344</v>
      </c>
      <c r="F51" s="99" t="s">
        <v>249</v>
      </c>
      <c r="G51" s="99" t="s">
        <v>1361</v>
      </c>
      <c r="H51" s="75" t="b">
        <v>0</v>
      </c>
      <c r="I51" s="75" t="b">
        <v>0</v>
      </c>
      <c r="J51" s="75" t="b">
        <v>0</v>
      </c>
      <c r="K51" s="75" t="b">
        <v>0</v>
      </c>
      <c r="L51" s="75" t="b">
        <v>0</v>
      </c>
      <c r="M51" s="76"/>
      <c r="N51" s="76"/>
      <c r="O51" s="77"/>
    </row>
    <row r="52" spans="3:15" ht="96">
      <c r="C52" s="95"/>
      <c r="D52" s="12"/>
      <c r="E52" s="29" t="s">
        <v>1344</v>
      </c>
      <c r="F52" s="99" t="s">
        <v>252</v>
      </c>
      <c r="G52" s="99" t="s">
        <v>1362</v>
      </c>
      <c r="H52" s="75" t="b">
        <v>0</v>
      </c>
      <c r="I52" s="75" t="b">
        <v>0</v>
      </c>
      <c r="J52" s="75" t="b">
        <v>0</v>
      </c>
      <c r="K52" s="75" t="b">
        <v>0</v>
      </c>
      <c r="L52" s="75" t="b">
        <v>0</v>
      </c>
      <c r="M52" s="76"/>
      <c r="N52" s="76"/>
      <c r="O52" s="77"/>
    </row>
    <row r="53" spans="3:15" ht="60">
      <c r="C53" s="95"/>
      <c r="D53" s="12"/>
      <c r="E53" s="29" t="s">
        <v>1344</v>
      </c>
      <c r="F53" s="99" t="s">
        <v>256</v>
      </c>
      <c r="G53" s="99" t="s">
        <v>1363</v>
      </c>
      <c r="H53" s="75" t="b">
        <v>0</v>
      </c>
      <c r="I53" s="75" t="b">
        <v>0</v>
      </c>
      <c r="J53" s="75" t="b">
        <v>0</v>
      </c>
      <c r="K53" s="75" t="b">
        <v>0</v>
      </c>
      <c r="L53" s="75" t="b">
        <v>0</v>
      </c>
      <c r="M53" s="76"/>
      <c r="N53" s="76"/>
      <c r="O53" s="77"/>
    </row>
    <row r="54" spans="3:15" ht="36">
      <c r="C54" s="95"/>
      <c r="D54" s="12"/>
      <c r="E54" s="29" t="s">
        <v>1344</v>
      </c>
      <c r="F54" s="99" t="s">
        <v>260</v>
      </c>
      <c r="G54" s="99" t="s">
        <v>1364</v>
      </c>
      <c r="H54" s="75" t="b">
        <v>0</v>
      </c>
      <c r="I54" s="75" t="b">
        <v>0</v>
      </c>
      <c r="J54" s="75" t="b">
        <v>0</v>
      </c>
      <c r="K54" s="75" t="b">
        <v>0</v>
      </c>
      <c r="L54" s="75" t="b">
        <v>0</v>
      </c>
      <c r="M54" s="76"/>
      <c r="N54" s="76"/>
      <c r="O54" s="77"/>
    </row>
    <row r="55" spans="3:15" ht="36">
      <c r="C55" s="95"/>
      <c r="D55" s="12"/>
      <c r="E55" s="29" t="s">
        <v>1344</v>
      </c>
      <c r="F55" s="99" t="s">
        <v>264</v>
      </c>
      <c r="G55" s="99" t="s">
        <v>1365</v>
      </c>
      <c r="H55" s="75" t="b">
        <v>0</v>
      </c>
      <c r="I55" s="75" t="b">
        <v>0</v>
      </c>
      <c r="J55" s="75" t="b">
        <v>0</v>
      </c>
      <c r="K55" s="75" t="b">
        <v>0</v>
      </c>
      <c r="L55" s="75" t="b">
        <v>0</v>
      </c>
      <c r="M55" s="76"/>
      <c r="N55" s="76"/>
      <c r="O55" s="77"/>
    </row>
    <row r="56" spans="3:15" ht="27">
      <c r="C56" s="95"/>
      <c r="D56" s="12"/>
      <c r="E56" s="29" t="s">
        <v>1344</v>
      </c>
      <c r="F56" s="99" t="s">
        <v>268</v>
      </c>
      <c r="G56" s="99" t="s">
        <v>1366</v>
      </c>
      <c r="H56" s="75" t="b">
        <v>0</v>
      </c>
      <c r="I56" s="75" t="b">
        <v>0</v>
      </c>
      <c r="J56" s="75" t="b">
        <v>0</v>
      </c>
      <c r="K56" s="75" t="b">
        <v>0</v>
      </c>
      <c r="L56" s="75" t="b">
        <v>0</v>
      </c>
      <c r="M56" s="76"/>
      <c r="N56" s="76"/>
      <c r="O56" s="77"/>
    </row>
    <row r="57" spans="3:15" ht="36">
      <c r="C57" s="95"/>
      <c r="D57" s="12"/>
      <c r="E57" s="29" t="s">
        <v>1344</v>
      </c>
      <c r="F57" s="99" t="s">
        <v>271</v>
      </c>
      <c r="G57" s="99" t="s">
        <v>1367</v>
      </c>
      <c r="H57" s="75" t="b">
        <v>0</v>
      </c>
      <c r="I57" s="75" t="b">
        <v>0</v>
      </c>
      <c r="J57" s="75" t="b">
        <v>0</v>
      </c>
      <c r="K57" s="75" t="b">
        <v>0</v>
      </c>
      <c r="L57" s="75" t="b">
        <v>0</v>
      </c>
      <c r="M57" s="76"/>
      <c r="N57" s="76"/>
      <c r="O57" s="77"/>
    </row>
    <row r="58" spans="3:15" ht="25.5">
      <c r="C58" s="95"/>
      <c r="D58" s="12"/>
      <c r="E58" s="67" t="s">
        <v>1368</v>
      </c>
      <c r="F58" s="66" t="s">
        <v>796</v>
      </c>
      <c r="G58" s="66" t="s">
        <v>1369</v>
      </c>
      <c r="H58" s="75" t="b">
        <v>0</v>
      </c>
      <c r="I58" s="75" t="b">
        <v>0</v>
      </c>
      <c r="J58" s="75" t="b">
        <v>0</v>
      </c>
      <c r="K58" s="75" t="b">
        <v>0</v>
      </c>
      <c r="L58" s="75" t="b">
        <v>0</v>
      </c>
      <c r="M58" s="76"/>
      <c r="N58" s="76"/>
      <c r="O58" s="77"/>
    </row>
    <row r="59" spans="3:15" ht="25.5">
      <c r="C59" s="95"/>
      <c r="D59" s="12"/>
      <c r="E59" s="67" t="s">
        <v>1368</v>
      </c>
      <c r="F59" s="66" t="s">
        <v>1370</v>
      </c>
      <c r="G59" s="67" t="s">
        <v>83</v>
      </c>
      <c r="H59" s="75" t="b">
        <v>0</v>
      </c>
      <c r="I59" s="75" t="b">
        <v>0</v>
      </c>
      <c r="J59" s="75" t="b">
        <v>0</v>
      </c>
      <c r="K59" s="75" t="b">
        <v>0</v>
      </c>
      <c r="L59" s="75" t="b">
        <v>0</v>
      </c>
      <c r="M59" s="76"/>
      <c r="N59" s="76"/>
      <c r="O59" s="77"/>
    </row>
    <row r="60" spans="3:15" ht="25.5">
      <c r="C60" s="95"/>
      <c r="D60" s="12"/>
      <c r="E60" s="67" t="s">
        <v>1256</v>
      </c>
      <c r="F60" s="66" t="s">
        <v>1257</v>
      </c>
      <c r="G60" s="66" t="s">
        <v>1099</v>
      </c>
      <c r="H60" s="75" t="b">
        <v>0</v>
      </c>
      <c r="I60" s="75" t="b">
        <v>0</v>
      </c>
      <c r="J60" s="75" t="b">
        <v>0</v>
      </c>
      <c r="K60" s="75" t="b">
        <v>0</v>
      </c>
      <c r="L60" s="75" t="b">
        <v>0</v>
      </c>
      <c r="M60" s="76"/>
      <c r="N60" s="76"/>
      <c r="O60" s="77"/>
    </row>
    <row r="61" spans="3:15" ht="25.5">
      <c r="C61" s="95"/>
      <c r="D61" s="12"/>
      <c r="E61" s="67" t="s">
        <v>1256</v>
      </c>
      <c r="F61" s="66" t="s">
        <v>1258</v>
      </c>
      <c r="G61" s="66" t="s">
        <v>1259</v>
      </c>
      <c r="H61" s="75" t="b">
        <v>0</v>
      </c>
      <c r="I61" s="75" t="b">
        <v>0</v>
      </c>
      <c r="J61" s="75" t="b">
        <v>0</v>
      </c>
      <c r="K61" s="75" t="b">
        <v>0</v>
      </c>
      <c r="L61" s="75" t="b">
        <v>0</v>
      </c>
      <c r="M61" s="76"/>
      <c r="N61" s="76"/>
      <c r="O61" s="77"/>
    </row>
    <row r="62" spans="3:15" ht="36">
      <c r="C62" s="95"/>
      <c r="D62" s="12"/>
      <c r="E62" s="67" t="s">
        <v>1256</v>
      </c>
      <c r="F62" s="66" t="s">
        <v>1260</v>
      </c>
      <c r="G62" s="66" t="s">
        <v>1261</v>
      </c>
      <c r="H62" s="75" t="b">
        <v>0</v>
      </c>
      <c r="I62" s="75" t="b">
        <v>0</v>
      </c>
      <c r="J62" s="75" t="b">
        <v>0</v>
      </c>
      <c r="K62" s="75" t="b">
        <v>0</v>
      </c>
      <c r="L62" s="75" t="b">
        <v>0</v>
      </c>
      <c r="M62" s="76"/>
      <c r="N62" s="76"/>
      <c r="O62" s="77"/>
    </row>
    <row r="63" spans="3:15" ht="25.5">
      <c r="C63" s="95"/>
      <c r="D63" s="12"/>
      <c r="E63" s="67" t="s">
        <v>1256</v>
      </c>
      <c r="F63" s="66" t="s">
        <v>1262</v>
      </c>
      <c r="G63" s="66" t="s">
        <v>1263</v>
      </c>
      <c r="H63" s="75" t="b">
        <v>0</v>
      </c>
      <c r="I63" s="75" t="b">
        <v>0</v>
      </c>
      <c r="J63" s="75" t="b">
        <v>0</v>
      </c>
      <c r="K63" s="75" t="b">
        <v>0</v>
      </c>
      <c r="L63" s="75" t="b">
        <v>0</v>
      </c>
      <c r="M63" s="76"/>
      <c r="N63" s="76"/>
      <c r="O63" s="77"/>
    </row>
    <row r="64" spans="3:15" ht="48">
      <c r="C64" s="95"/>
      <c r="D64" s="12"/>
      <c r="E64" s="67" t="s">
        <v>1256</v>
      </c>
      <c r="F64" s="66" t="s">
        <v>1264</v>
      </c>
      <c r="G64" s="66" t="s">
        <v>1265</v>
      </c>
      <c r="H64" s="75" t="b">
        <v>0</v>
      </c>
      <c r="I64" s="75" t="b">
        <v>0</v>
      </c>
      <c r="J64" s="75" t="b">
        <v>0</v>
      </c>
      <c r="K64" s="75" t="b">
        <v>0</v>
      </c>
      <c r="L64" s="75" t="b">
        <v>0</v>
      </c>
      <c r="M64" s="76"/>
      <c r="N64" s="76"/>
      <c r="O64" s="77"/>
    </row>
    <row r="65" spans="3:15" ht="25.5">
      <c r="C65" s="95"/>
      <c r="D65" s="12"/>
      <c r="E65" s="67" t="s">
        <v>1256</v>
      </c>
      <c r="F65" s="66" t="s">
        <v>1266</v>
      </c>
      <c r="G65" s="66" t="s">
        <v>1267</v>
      </c>
      <c r="H65" s="75" t="b">
        <v>0</v>
      </c>
      <c r="I65" s="75" t="b">
        <v>0</v>
      </c>
      <c r="J65" s="75" t="b">
        <v>0</v>
      </c>
      <c r="K65" s="75" t="b">
        <v>0</v>
      </c>
      <c r="L65" s="75" t="b">
        <v>0</v>
      </c>
      <c r="M65" s="76"/>
      <c r="N65" s="76"/>
      <c r="O65" s="77"/>
    </row>
    <row r="66" spans="3:15" ht="60">
      <c r="C66" s="95"/>
      <c r="D66" s="12"/>
      <c r="E66" s="67" t="s">
        <v>1256</v>
      </c>
      <c r="F66" s="66" t="s">
        <v>1268</v>
      </c>
      <c r="G66" s="66" t="s">
        <v>1269</v>
      </c>
      <c r="H66" s="75" t="b">
        <v>0</v>
      </c>
      <c r="I66" s="75" t="b">
        <v>0</v>
      </c>
      <c r="J66" s="75" t="b">
        <v>0</v>
      </c>
      <c r="K66" s="75" t="b">
        <v>0</v>
      </c>
      <c r="L66" s="75" t="b">
        <v>0</v>
      </c>
      <c r="M66" s="76"/>
      <c r="N66" s="76"/>
      <c r="O66" s="77"/>
    </row>
    <row r="67" spans="3:15" ht="36">
      <c r="C67" s="95"/>
      <c r="D67" s="12"/>
      <c r="E67" s="67" t="s">
        <v>1256</v>
      </c>
      <c r="F67" s="66" t="s">
        <v>1270</v>
      </c>
      <c r="G67" s="66" t="s">
        <v>1271</v>
      </c>
      <c r="H67" s="75" t="b">
        <v>0</v>
      </c>
      <c r="I67" s="75" t="b">
        <v>0</v>
      </c>
      <c r="J67" s="75" t="b">
        <v>0</v>
      </c>
      <c r="K67" s="75" t="b">
        <v>0</v>
      </c>
      <c r="L67" s="75" t="b">
        <v>0</v>
      </c>
      <c r="M67" s="76"/>
      <c r="N67" s="76"/>
      <c r="O67" s="77"/>
    </row>
    <row r="68" spans="3:15" ht="25.5">
      <c r="C68" s="95"/>
      <c r="D68" s="12"/>
      <c r="E68" s="67" t="s">
        <v>1256</v>
      </c>
      <c r="F68" s="66" t="s">
        <v>1272</v>
      </c>
      <c r="G68" s="66" t="s">
        <v>1273</v>
      </c>
      <c r="H68" s="75" t="b">
        <v>0</v>
      </c>
      <c r="I68" s="75" t="b">
        <v>0</v>
      </c>
      <c r="J68" s="75" t="b">
        <v>0</v>
      </c>
      <c r="K68" s="75" t="b">
        <v>0</v>
      </c>
      <c r="L68" s="75" t="b">
        <v>0</v>
      </c>
      <c r="M68" s="76"/>
      <c r="N68" s="76"/>
      <c r="O68" s="77"/>
    </row>
    <row r="69" spans="3:15" ht="25.5">
      <c r="C69" s="95"/>
      <c r="D69" s="12"/>
      <c r="E69" s="67" t="s">
        <v>1256</v>
      </c>
      <c r="F69" s="66" t="s">
        <v>1274</v>
      </c>
      <c r="G69" s="66" t="s">
        <v>1275</v>
      </c>
      <c r="H69" s="75" t="b">
        <v>0</v>
      </c>
      <c r="I69" s="75" t="b">
        <v>0</v>
      </c>
      <c r="J69" s="75" t="b">
        <v>0</v>
      </c>
      <c r="K69" s="75" t="b">
        <v>0</v>
      </c>
      <c r="L69" s="75" t="b">
        <v>0</v>
      </c>
      <c r="M69" s="76"/>
      <c r="N69" s="76"/>
      <c r="O69" s="77"/>
    </row>
    <row r="70" spans="3:15" ht="25.5">
      <c r="C70" s="95"/>
      <c r="D70" s="12"/>
      <c r="E70" s="67" t="s">
        <v>1256</v>
      </c>
      <c r="F70" s="66" t="s">
        <v>1276</v>
      </c>
      <c r="G70" s="67" t="s">
        <v>1277</v>
      </c>
      <c r="H70" s="75" t="b">
        <v>0</v>
      </c>
      <c r="I70" s="75" t="b">
        <v>0</v>
      </c>
      <c r="J70" s="75" t="b">
        <v>0</v>
      </c>
      <c r="K70" s="75" t="b">
        <v>0</v>
      </c>
      <c r="L70" s="75" t="b">
        <v>0</v>
      </c>
      <c r="M70" s="76"/>
      <c r="N70" s="76"/>
      <c r="O70" s="77"/>
    </row>
    <row r="71" spans="3:15" ht="25.5">
      <c r="C71" s="95"/>
      <c r="D71" s="12"/>
      <c r="E71" s="67" t="s">
        <v>1256</v>
      </c>
      <c r="F71" s="66" t="s">
        <v>1278</v>
      </c>
      <c r="G71" s="67" t="s">
        <v>1279</v>
      </c>
      <c r="H71" s="75" t="b">
        <v>0</v>
      </c>
      <c r="I71" s="75" t="b">
        <v>0</v>
      </c>
      <c r="J71" s="75" t="b">
        <v>0</v>
      </c>
      <c r="K71" s="75" t="b">
        <v>0</v>
      </c>
      <c r="L71" s="75" t="b">
        <v>0</v>
      </c>
      <c r="M71" s="76"/>
      <c r="N71" s="76"/>
      <c r="O71" s="77"/>
    </row>
    <row r="72" spans="3:15" ht="48">
      <c r="C72" s="95"/>
      <c r="D72" s="12"/>
      <c r="E72" s="67" t="s">
        <v>1256</v>
      </c>
      <c r="F72" s="66" t="s">
        <v>797</v>
      </c>
      <c r="G72" s="66" t="s">
        <v>1280</v>
      </c>
      <c r="H72" s="75" t="b">
        <v>0</v>
      </c>
      <c r="I72" s="75" t="b">
        <v>0</v>
      </c>
      <c r="J72" s="75" t="b">
        <v>0</v>
      </c>
      <c r="K72" s="75" t="b">
        <v>0</v>
      </c>
      <c r="L72" s="75" t="b">
        <v>0</v>
      </c>
      <c r="M72" s="76"/>
      <c r="N72" s="76"/>
      <c r="O72" s="77"/>
    </row>
    <row r="73" spans="3:15" ht="48">
      <c r="C73" s="95"/>
      <c r="D73" s="12"/>
      <c r="E73" s="67" t="s">
        <v>1256</v>
      </c>
      <c r="F73" s="66" t="s">
        <v>1278</v>
      </c>
      <c r="G73" s="66" t="s">
        <v>1281</v>
      </c>
      <c r="H73" s="75" t="b">
        <v>0</v>
      </c>
      <c r="I73" s="75" t="b">
        <v>0</v>
      </c>
      <c r="J73" s="75" t="b">
        <v>0</v>
      </c>
      <c r="K73" s="75" t="b">
        <v>0</v>
      </c>
      <c r="L73" s="75" t="b">
        <v>0</v>
      </c>
      <c r="M73" s="76"/>
      <c r="N73" s="76"/>
      <c r="O73" s="77"/>
    </row>
    <row r="74" spans="3:15" ht="36">
      <c r="C74" s="95"/>
      <c r="D74" s="12"/>
      <c r="E74" s="67" t="s">
        <v>1256</v>
      </c>
      <c r="F74" s="66" t="s">
        <v>1282</v>
      </c>
      <c r="G74" s="66" t="s">
        <v>1283</v>
      </c>
      <c r="H74" s="75" t="b">
        <v>0</v>
      </c>
      <c r="I74" s="75" t="b">
        <v>0</v>
      </c>
      <c r="J74" s="75" t="b">
        <v>0</v>
      </c>
      <c r="K74" s="75" t="b">
        <v>0</v>
      </c>
      <c r="L74" s="75" t="b">
        <v>0</v>
      </c>
      <c r="M74" s="76"/>
      <c r="N74" s="76"/>
      <c r="O74" s="77"/>
    </row>
    <row r="75" spans="3:15" ht="25.5">
      <c r="C75" s="95"/>
      <c r="D75" s="12"/>
      <c r="E75" s="67" t="s">
        <v>1256</v>
      </c>
      <c r="F75" s="66" t="s">
        <v>800</v>
      </c>
      <c r="G75" s="66" t="s">
        <v>1243</v>
      </c>
      <c r="H75" s="75" t="b">
        <v>0</v>
      </c>
      <c r="I75" s="75" t="b">
        <v>0</v>
      </c>
      <c r="J75" s="75" t="b">
        <v>0</v>
      </c>
      <c r="K75" s="75" t="b">
        <v>0</v>
      </c>
      <c r="L75" s="75" t="b">
        <v>0</v>
      </c>
      <c r="M75" s="76"/>
      <c r="N75" s="76"/>
      <c r="O75" s="77"/>
    </row>
    <row r="76" spans="3:15" ht="25.5">
      <c r="C76" s="95"/>
      <c r="D76" s="12"/>
      <c r="E76" s="67" t="s">
        <v>1256</v>
      </c>
      <c r="F76" s="66" t="s">
        <v>801</v>
      </c>
      <c r="G76" s="66" t="s">
        <v>1284</v>
      </c>
      <c r="H76" s="75" t="b">
        <v>0</v>
      </c>
      <c r="I76" s="75" t="b">
        <v>0</v>
      </c>
      <c r="J76" s="75" t="b">
        <v>0</v>
      </c>
      <c r="K76" s="75" t="b">
        <v>0</v>
      </c>
      <c r="L76" s="75" t="b">
        <v>0</v>
      </c>
      <c r="M76" s="76"/>
      <c r="N76" s="76"/>
      <c r="O76" s="77"/>
    </row>
    <row r="77" spans="3:15" ht="36">
      <c r="C77" s="95"/>
      <c r="D77" s="12"/>
      <c r="E77" s="67" t="s">
        <v>1256</v>
      </c>
      <c r="F77" s="66" t="s">
        <v>1285</v>
      </c>
      <c r="G77" s="66" t="s">
        <v>1200</v>
      </c>
      <c r="H77" s="75" t="b">
        <v>0</v>
      </c>
      <c r="I77" s="75" t="b">
        <v>0</v>
      </c>
      <c r="J77" s="75" t="b">
        <v>0</v>
      </c>
      <c r="K77" s="75" t="b">
        <v>0</v>
      </c>
      <c r="L77" s="75" t="b">
        <v>0</v>
      </c>
      <c r="M77" s="76"/>
      <c r="N77" s="76"/>
      <c r="O77" s="77"/>
    </row>
    <row r="78" spans="3:15" ht="25.5">
      <c r="C78" s="95"/>
      <c r="D78" s="12"/>
      <c r="E78" s="67" t="s">
        <v>1256</v>
      </c>
      <c r="F78" s="66" t="s">
        <v>1286</v>
      </c>
      <c r="G78" s="66" t="s">
        <v>272</v>
      </c>
      <c r="H78" s="75" t="b">
        <v>0</v>
      </c>
      <c r="I78" s="75" t="b">
        <v>0</v>
      </c>
      <c r="J78" s="75" t="b">
        <v>0</v>
      </c>
      <c r="K78" s="75" t="b">
        <v>0</v>
      </c>
      <c r="L78" s="75" t="b">
        <v>0</v>
      </c>
      <c r="M78" s="76"/>
      <c r="N78" s="76"/>
      <c r="O78" s="77"/>
    </row>
    <row r="79" spans="3:15" ht="48">
      <c r="C79" s="95"/>
      <c r="D79" s="12"/>
      <c r="E79" s="67" t="s">
        <v>1256</v>
      </c>
      <c r="F79" s="66" t="s">
        <v>1287</v>
      </c>
      <c r="G79" s="66" t="s">
        <v>1288</v>
      </c>
      <c r="H79" s="75" t="b">
        <v>0</v>
      </c>
      <c r="I79" s="75" t="b">
        <v>0</v>
      </c>
      <c r="J79" s="75" t="b">
        <v>0</v>
      </c>
      <c r="K79" s="75" t="b">
        <v>0</v>
      </c>
      <c r="L79" s="75" t="b">
        <v>0</v>
      </c>
      <c r="M79" s="76"/>
      <c r="N79" s="76"/>
      <c r="O79" s="77"/>
    </row>
    <row r="80" spans="3:15" ht="25.5">
      <c r="C80" s="95"/>
      <c r="D80" s="12"/>
      <c r="E80" s="67" t="s">
        <v>1256</v>
      </c>
      <c r="F80" s="66" t="s">
        <v>1289</v>
      </c>
      <c r="G80" s="66" t="s">
        <v>1290</v>
      </c>
      <c r="H80" s="75" t="b">
        <v>0</v>
      </c>
      <c r="I80" s="75" t="b">
        <v>0</v>
      </c>
      <c r="J80" s="75" t="b">
        <v>0</v>
      </c>
      <c r="K80" s="75" t="b">
        <v>0</v>
      </c>
      <c r="L80" s="75" t="b">
        <v>0</v>
      </c>
      <c r="M80" s="76"/>
      <c r="N80" s="76"/>
      <c r="O80" s="77"/>
    </row>
    <row r="81" spans="3:15" ht="48">
      <c r="C81" s="95"/>
      <c r="D81" s="12"/>
      <c r="E81" s="67" t="s">
        <v>1256</v>
      </c>
      <c r="F81" s="66" t="s">
        <v>1291</v>
      </c>
      <c r="G81" s="66" t="s">
        <v>1292</v>
      </c>
      <c r="H81" s="75" t="b">
        <v>0</v>
      </c>
      <c r="I81" s="75" t="b">
        <v>0</v>
      </c>
      <c r="J81" s="75" t="b">
        <v>0</v>
      </c>
      <c r="K81" s="75" t="b">
        <v>0</v>
      </c>
      <c r="L81" s="75" t="b">
        <v>0</v>
      </c>
      <c r="M81" s="76"/>
      <c r="N81" s="76"/>
      <c r="O81" s="77"/>
    </row>
    <row r="82" spans="3:15" ht="25.5">
      <c r="C82" s="95"/>
      <c r="D82" s="12"/>
      <c r="E82" s="67" t="s">
        <v>1256</v>
      </c>
      <c r="F82" s="66" t="s">
        <v>1293</v>
      </c>
      <c r="G82" s="66" t="s">
        <v>1294</v>
      </c>
      <c r="H82" s="75" t="b">
        <v>0</v>
      </c>
      <c r="I82" s="75" t="b">
        <v>0</v>
      </c>
      <c r="J82" s="75" t="b">
        <v>0</v>
      </c>
      <c r="K82" s="75" t="b">
        <v>0</v>
      </c>
      <c r="L82" s="75" t="b">
        <v>0</v>
      </c>
      <c r="M82" s="76"/>
      <c r="N82" s="76"/>
      <c r="O82" s="77"/>
    </row>
    <row r="83" spans="3:15" ht="25.5">
      <c r="C83" s="95"/>
      <c r="D83" s="12"/>
      <c r="E83" s="67" t="s">
        <v>1256</v>
      </c>
      <c r="F83" s="66" t="s">
        <v>1295</v>
      </c>
      <c r="G83" s="66" t="s">
        <v>1296</v>
      </c>
      <c r="H83" s="75" t="b">
        <v>0</v>
      </c>
      <c r="I83" s="75" t="b">
        <v>0</v>
      </c>
      <c r="J83" s="75" t="b">
        <v>0</v>
      </c>
      <c r="K83" s="75" t="b">
        <v>0</v>
      </c>
      <c r="L83" s="75" t="b">
        <v>0</v>
      </c>
      <c r="M83" s="76"/>
      <c r="N83" s="76"/>
      <c r="O83" s="77"/>
    </row>
    <row r="84" spans="3:15" ht="36">
      <c r="C84" s="95"/>
      <c r="D84" s="12"/>
      <c r="E84" s="67" t="s">
        <v>1256</v>
      </c>
      <c r="F84" s="66" t="s">
        <v>1297</v>
      </c>
      <c r="G84" s="66" t="s">
        <v>1298</v>
      </c>
      <c r="H84" s="75" t="b">
        <v>0</v>
      </c>
      <c r="I84" s="75" t="b">
        <v>0</v>
      </c>
      <c r="J84" s="75" t="b">
        <v>0</v>
      </c>
      <c r="K84" s="75" t="b">
        <v>0</v>
      </c>
      <c r="L84" s="75" t="b">
        <v>0</v>
      </c>
      <c r="M84" s="76"/>
      <c r="N84" s="76"/>
      <c r="O84" s="77"/>
    </row>
    <row r="85" spans="3:15" ht="25.5">
      <c r="C85" s="95"/>
      <c r="D85" s="12"/>
      <c r="E85" s="67" t="s">
        <v>1256</v>
      </c>
      <c r="F85" s="66" t="s">
        <v>1299</v>
      </c>
      <c r="G85" s="66" t="s">
        <v>1300</v>
      </c>
      <c r="H85" s="75" t="b">
        <v>0</v>
      </c>
      <c r="I85" s="75" t="b">
        <v>0</v>
      </c>
      <c r="J85" s="75" t="b">
        <v>0</v>
      </c>
      <c r="K85" s="75" t="b">
        <v>0</v>
      </c>
      <c r="L85" s="75" t="b">
        <v>0</v>
      </c>
      <c r="M85" s="76"/>
      <c r="N85" s="76"/>
      <c r="O85" s="77"/>
    </row>
    <row r="86" spans="3:15" ht="36">
      <c r="C86" s="95"/>
      <c r="D86" s="12"/>
      <c r="E86" s="67" t="s">
        <v>1256</v>
      </c>
      <c r="F86" s="66" t="s">
        <v>1301</v>
      </c>
      <c r="G86" s="66" t="s">
        <v>1302</v>
      </c>
      <c r="H86" s="75" t="b">
        <v>0</v>
      </c>
      <c r="I86" s="75" t="b">
        <v>0</v>
      </c>
      <c r="J86" s="75" t="b">
        <v>0</v>
      </c>
      <c r="K86" s="75" t="b">
        <v>0</v>
      </c>
      <c r="L86" s="75" t="b">
        <v>0</v>
      </c>
      <c r="M86" s="76"/>
      <c r="N86" s="76"/>
      <c r="O86" s="77"/>
    </row>
    <row r="87" spans="3:15" ht="25.5">
      <c r="C87" s="95"/>
      <c r="D87" s="12"/>
      <c r="E87" s="67" t="s">
        <v>1256</v>
      </c>
      <c r="F87" s="66" t="s">
        <v>1303</v>
      </c>
      <c r="G87" s="66" t="s">
        <v>1300</v>
      </c>
      <c r="H87" s="75" t="b">
        <v>0</v>
      </c>
      <c r="I87" s="75" t="b">
        <v>0</v>
      </c>
      <c r="J87" s="75" t="b">
        <v>0</v>
      </c>
      <c r="K87" s="75" t="b">
        <v>0</v>
      </c>
      <c r="L87" s="75" t="b">
        <v>0</v>
      </c>
      <c r="M87" s="76"/>
      <c r="N87" s="76"/>
      <c r="O87" s="77"/>
    </row>
    <row r="88" spans="3:15" ht="60">
      <c r="C88" s="95"/>
      <c r="D88" s="12"/>
      <c r="E88" s="67" t="s">
        <v>1256</v>
      </c>
      <c r="F88" s="66" t="s">
        <v>1304</v>
      </c>
      <c r="G88" s="66" t="s">
        <v>1305</v>
      </c>
      <c r="H88" s="75" t="b">
        <v>0</v>
      </c>
      <c r="I88" s="75" t="b">
        <v>0</v>
      </c>
      <c r="J88" s="75" t="b">
        <v>0</v>
      </c>
      <c r="K88" s="75" t="b">
        <v>0</v>
      </c>
      <c r="L88" s="75" t="b">
        <v>0</v>
      </c>
      <c r="M88" s="76"/>
      <c r="N88" s="76"/>
      <c r="O88" s="77"/>
    </row>
    <row r="89" spans="3:15" ht="25.5">
      <c r="C89" s="95"/>
      <c r="D89" s="12"/>
      <c r="E89" s="67" t="s">
        <v>1256</v>
      </c>
      <c r="F89" s="66" t="s">
        <v>817</v>
      </c>
      <c r="G89" s="66" t="s">
        <v>1253</v>
      </c>
      <c r="H89" s="75" t="b">
        <v>0</v>
      </c>
      <c r="I89" s="75" t="b">
        <v>0</v>
      </c>
      <c r="J89" s="75" t="b">
        <v>0</v>
      </c>
      <c r="K89" s="75" t="b">
        <v>0</v>
      </c>
      <c r="L89" s="75" t="b">
        <v>0</v>
      </c>
      <c r="M89" s="76"/>
      <c r="N89" s="76"/>
      <c r="O89" s="77"/>
    </row>
    <row r="90" spans="3:15" ht="36">
      <c r="C90" s="95"/>
      <c r="D90" s="12"/>
      <c r="E90" s="67" t="s">
        <v>1256</v>
      </c>
      <c r="F90" s="66" t="s">
        <v>818</v>
      </c>
      <c r="G90" s="66" t="s">
        <v>1306</v>
      </c>
      <c r="H90" s="75" t="b">
        <v>0</v>
      </c>
      <c r="I90" s="75" t="b">
        <v>0</v>
      </c>
      <c r="J90" s="75" t="b">
        <v>0</v>
      </c>
      <c r="K90" s="75" t="b">
        <v>0</v>
      </c>
      <c r="L90" s="75" t="b">
        <v>0</v>
      </c>
      <c r="M90" s="76"/>
      <c r="N90" s="76"/>
      <c r="O90" s="77"/>
    </row>
    <row r="91" spans="3:15" ht="25.5">
      <c r="C91" s="95"/>
      <c r="D91" s="12"/>
      <c r="E91" s="67" t="s">
        <v>1256</v>
      </c>
      <c r="F91" s="66" t="s">
        <v>819</v>
      </c>
      <c r="G91" s="66" t="s">
        <v>1307</v>
      </c>
      <c r="H91" s="75" t="b">
        <v>0</v>
      </c>
      <c r="I91" s="75" t="b">
        <v>0</v>
      </c>
      <c r="J91" s="75" t="b">
        <v>0</v>
      </c>
      <c r="K91" s="75" t="b">
        <v>0</v>
      </c>
      <c r="L91" s="75" t="b">
        <v>0</v>
      </c>
      <c r="M91" s="76"/>
      <c r="N91" s="76"/>
      <c r="O91" s="77"/>
    </row>
    <row r="92" spans="3:15" ht="48">
      <c r="C92" s="95"/>
      <c r="D92" s="12"/>
      <c r="E92" s="67" t="s">
        <v>1256</v>
      </c>
      <c r="F92" s="66" t="s">
        <v>820</v>
      </c>
      <c r="G92" s="66" t="s">
        <v>1280</v>
      </c>
      <c r="H92" s="75" t="b">
        <v>0</v>
      </c>
      <c r="I92" s="75" t="b">
        <v>0</v>
      </c>
      <c r="J92" s="75" t="b">
        <v>0</v>
      </c>
      <c r="K92" s="75" t="b">
        <v>0</v>
      </c>
      <c r="L92" s="75" t="b">
        <v>0</v>
      </c>
      <c r="M92" s="76"/>
      <c r="N92" s="76"/>
      <c r="O92" s="77"/>
    </row>
    <row r="93" spans="3:15" ht="48">
      <c r="C93" s="95"/>
      <c r="D93" s="12"/>
      <c r="E93" s="67" t="s">
        <v>1256</v>
      </c>
      <c r="F93" s="66" t="s">
        <v>1308</v>
      </c>
      <c r="G93" s="66" t="s">
        <v>1309</v>
      </c>
      <c r="H93" s="75" t="b">
        <v>0</v>
      </c>
      <c r="I93" s="75" t="b">
        <v>0</v>
      </c>
      <c r="J93" s="75" t="b">
        <v>0</v>
      </c>
      <c r="K93" s="75" t="b">
        <v>0</v>
      </c>
      <c r="L93" s="75" t="b">
        <v>0</v>
      </c>
      <c r="M93" s="76"/>
      <c r="N93" s="76"/>
      <c r="O93" s="77"/>
    </row>
    <row r="94" spans="3:15" ht="25.5">
      <c r="C94" s="95"/>
      <c r="D94" s="12"/>
      <c r="E94" s="67" t="s">
        <v>1256</v>
      </c>
      <c r="F94" s="66" t="s">
        <v>1310</v>
      </c>
      <c r="G94" s="66" t="s">
        <v>1244</v>
      </c>
      <c r="H94" s="75" t="b">
        <v>0</v>
      </c>
      <c r="I94" s="75" t="b">
        <v>0</v>
      </c>
      <c r="J94" s="75" t="b">
        <v>0</v>
      </c>
      <c r="K94" s="75" t="b">
        <v>0</v>
      </c>
      <c r="L94" s="75" t="b">
        <v>0</v>
      </c>
      <c r="M94" s="76"/>
      <c r="N94" s="76"/>
      <c r="O94" s="77"/>
    </row>
    <row r="95" spans="3:15" ht="25.5">
      <c r="C95" s="95"/>
      <c r="D95" s="12"/>
      <c r="E95" s="67" t="s">
        <v>1256</v>
      </c>
      <c r="F95" s="66" t="s">
        <v>1311</v>
      </c>
      <c r="G95" s="66" t="s">
        <v>1243</v>
      </c>
      <c r="H95" s="75" t="b">
        <v>0</v>
      </c>
      <c r="I95" s="75" t="b">
        <v>0</v>
      </c>
      <c r="J95" s="75" t="b">
        <v>0</v>
      </c>
      <c r="K95" s="75" t="b">
        <v>0</v>
      </c>
      <c r="L95" s="75" t="b">
        <v>0</v>
      </c>
      <c r="M95" s="76"/>
      <c r="N95" s="76"/>
      <c r="O95" s="77"/>
    </row>
    <row r="96" spans="3:15" ht="25.5">
      <c r="C96" s="95"/>
      <c r="D96" s="12"/>
      <c r="E96" s="67" t="s">
        <v>1256</v>
      </c>
      <c r="F96" s="66" t="s">
        <v>1312</v>
      </c>
      <c r="G96" s="66" t="s">
        <v>828</v>
      </c>
      <c r="H96" s="75" t="b">
        <v>0</v>
      </c>
      <c r="I96" s="75" t="b">
        <v>0</v>
      </c>
      <c r="J96" s="75" t="b">
        <v>0</v>
      </c>
      <c r="K96" s="75" t="b">
        <v>0</v>
      </c>
      <c r="L96" s="75" t="b">
        <v>0</v>
      </c>
      <c r="M96" s="76"/>
      <c r="N96" s="76"/>
      <c r="O96" s="77"/>
    </row>
    <row r="97" spans="3:15" ht="25.5">
      <c r="C97" s="95"/>
      <c r="D97" s="12"/>
      <c r="E97" s="67" t="s">
        <v>1256</v>
      </c>
      <c r="F97" s="66" t="s">
        <v>1313</v>
      </c>
      <c r="G97" s="66" t="s">
        <v>1244</v>
      </c>
      <c r="H97" s="75" t="b">
        <v>0</v>
      </c>
      <c r="I97" s="75" t="b">
        <v>0</v>
      </c>
      <c r="J97" s="75" t="b">
        <v>0</v>
      </c>
      <c r="K97" s="75" t="b">
        <v>0</v>
      </c>
      <c r="L97" s="75" t="b">
        <v>0</v>
      </c>
      <c r="M97" s="76"/>
      <c r="N97" s="76"/>
      <c r="O97" s="77"/>
    </row>
    <row r="98" spans="3:15" ht="25.5">
      <c r="C98" s="95"/>
      <c r="D98" s="12"/>
      <c r="E98" s="67" t="s">
        <v>1256</v>
      </c>
      <c r="F98" s="66" t="s">
        <v>1314</v>
      </c>
      <c r="G98" s="66" t="s">
        <v>272</v>
      </c>
      <c r="H98" s="75" t="b">
        <v>0</v>
      </c>
      <c r="I98" s="75" t="b">
        <v>0</v>
      </c>
      <c r="J98" s="75" t="b">
        <v>0</v>
      </c>
      <c r="K98" s="75" t="b">
        <v>0</v>
      </c>
      <c r="L98" s="75" t="b">
        <v>0</v>
      </c>
      <c r="M98" s="76"/>
      <c r="N98" s="76"/>
      <c r="O98" s="77"/>
    </row>
    <row r="99" spans="3:15" ht="48">
      <c r="C99" s="95"/>
      <c r="D99" s="12"/>
      <c r="E99" s="67" t="s">
        <v>1256</v>
      </c>
      <c r="F99" s="66" t="s">
        <v>829</v>
      </c>
      <c r="G99" s="66" t="s">
        <v>1315</v>
      </c>
      <c r="H99" s="75" t="b">
        <v>0</v>
      </c>
      <c r="I99" s="75" t="b">
        <v>0</v>
      </c>
      <c r="J99" s="75" t="b">
        <v>0</v>
      </c>
      <c r="K99" s="75" t="b">
        <v>0</v>
      </c>
      <c r="L99" s="75" t="b">
        <v>0</v>
      </c>
      <c r="M99" s="76"/>
      <c r="N99" s="76"/>
      <c r="O99" s="77"/>
    </row>
    <row r="100" spans="3:15" ht="25.5">
      <c r="C100" s="95"/>
      <c r="D100" s="12"/>
      <c r="E100" s="67" t="s">
        <v>1256</v>
      </c>
      <c r="F100" s="66" t="s">
        <v>1316</v>
      </c>
      <c r="G100" s="66" t="s">
        <v>1317</v>
      </c>
      <c r="H100" s="75" t="b">
        <v>0</v>
      </c>
      <c r="I100" s="75" t="b">
        <v>0</v>
      </c>
      <c r="J100" s="75" t="b">
        <v>0</v>
      </c>
      <c r="K100" s="75" t="b">
        <v>0</v>
      </c>
      <c r="L100" s="75" t="b">
        <v>0</v>
      </c>
      <c r="M100" s="76"/>
      <c r="N100" s="76"/>
      <c r="O100" s="77"/>
    </row>
    <row r="101" spans="3:15" ht="25.5">
      <c r="C101" s="95"/>
      <c r="D101" s="12"/>
      <c r="E101" s="67" t="s">
        <v>1256</v>
      </c>
      <c r="F101" s="66" t="s">
        <v>1318</v>
      </c>
      <c r="G101" s="66" t="s">
        <v>1319</v>
      </c>
      <c r="H101" s="75" t="b">
        <v>0</v>
      </c>
      <c r="I101" s="75" t="b">
        <v>0</v>
      </c>
      <c r="J101" s="75" t="b">
        <v>0</v>
      </c>
      <c r="K101" s="75" t="b">
        <v>0</v>
      </c>
      <c r="L101" s="75" t="b">
        <v>0</v>
      </c>
      <c r="M101" s="76"/>
      <c r="N101" s="76"/>
      <c r="O101" s="77"/>
    </row>
    <row r="102" spans="3:15" ht="25.5">
      <c r="C102" s="95"/>
      <c r="D102" s="12"/>
      <c r="E102" s="67" t="s">
        <v>1256</v>
      </c>
      <c r="F102" s="66" t="s">
        <v>1320</v>
      </c>
      <c r="G102" s="66" t="s">
        <v>1294</v>
      </c>
      <c r="H102" s="75" t="b">
        <v>0</v>
      </c>
      <c r="I102" s="75" t="b">
        <v>0</v>
      </c>
      <c r="J102" s="75" t="b">
        <v>0</v>
      </c>
      <c r="K102" s="75" t="b">
        <v>0</v>
      </c>
      <c r="L102" s="75" t="b">
        <v>0</v>
      </c>
      <c r="M102" s="76"/>
      <c r="N102" s="76"/>
      <c r="O102" s="77"/>
    </row>
    <row r="103" spans="3:15" ht="36">
      <c r="C103" s="95"/>
      <c r="D103" s="12"/>
      <c r="E103" s="67" t="s">
        <v>1256</v>
      </c>
      <c r="F103" s="66" t="s">
        <v>1321</v>
      </c>
      <c r="G103" s="66" t="s">
        <v>1322</v>
      </c>
      <c r="H103" s="75" t="b">
        <v>0</v>
      </c>
      <c r="I103" s="75" t="b">
        <v>0</v>
      </c>
      <c r="J103" s="75" t="b">
        <v>0</v>
      </c>
      <c r="K103" s="75" t="b">
        <v>0</v>
      </c>
      <c r="L103" s="75" t="b">
        <v>0</v>
      </c>
      <c r="M103" s="76"/>
      <c r="N103" s="76"/>
      <c r="O103" s="77"/>
    </row>
    <row r="104" spans="3:15" ht="36">
      <c r="C104" s="95"/>
      <c r="D104" s="12"/>
      <c r="E104" s="67" t="s">
        <v>1256</v>
      </c>
      <c r="F104" s="66" t="s">
        <v>1323</v>
      </c>
      <c r="G104" s="66" t="s">
        <v>1324</v>
      </c>
      <c r="H104" s="75" t="b">
        <v>0</v>
      </c>
      <c r="I104" s="75" t="b">
        <v>0</v>
      </c>
      <c r="J104" s="75" t="b">
        <v>0</v>
      </c>
      <c r="K104" s="75" t="b">
        <v>0</v>
      </c>
      <c r="L104" s="75" t="b">
        <v>0</v>
      </c>
      <c r="M104" s="76"/>
      <c r="N104" s="76"/>
      <c r="O104" s="77"/>
    </row>
    <row r="105" spans="3:15" ht="25.5">
      <c r="C105" s="95"/>
      <c r="D105" s="12"/>
      <c r="E105" s="67" t="s">
        <v>1256</v>
      </c>
      <c r="F105" s="66" t="s">
        <v>1325</v>
      </c>
      <c r="G105" s="66" t="s">
        <v>1326</v>
      </c>
      <c r="H105" s="75" t="b">
        <v>0</v>
      </c>
      <c r="I105" s="75" t="b">
        <v>0</v>
      </c>
      <c r="J105" s="75" t="b">
        <v>0</v>
      </c>
      <c r="K105" s="75" t="b">
        <v>0</v>
      </c>
      <c r="L105" s="75" t="b">
        <v>0</v>
      </c>
      <c r="M105" s="76"/>
      <c r="N105" s="76"/>
      <c r="O105" s="77"/>
    </row>
    <row r="106" spans="3:15" ht="48">
      <c r="C106" s="95"/>
      <c r="D106" s="12"/>
      <c r="E106" s="67" t="s">
        <v>1256</v>
      </c>
      <c r="F106" s="66" t="s">
        <v>1327</v>
      </c>
      <c r="G106" s="66" t="s">
        <v>1328</v>
      </c>
      <c r="H106" s="75" t="b">
        <v>0</v>
      </c>
      <c r="I106" s="75" t="b">
        <v>0</v>
      </c>
      <c r="J106" s="75" t="b">
        <v>0</v>
      </c>
      <c r="K106" s="75" t="b">
        <v>0</v>
      </c>
      <c r="L106" s="75" t="b">
        <v>0</v>
      </c>
      <c r="M106" s="76"/>
      <c r="N106" s="76"/>
      <c r="O106" s="77"/>
    </row>
    <row r="107" spans="3:15" ht="25.5">
      <c r="C107" s="95"/>
      <c r="D107" s="12"/>
      <c r="E107" s="67" t="s">
        <v>1256</v>
      </c>
      <c r="F107" s="66" t="s">
        <v>1329</v>
      </c>
      <c r="G107" s="66" t="s">
        <v>1330</v>
      </c>
      <c r="H107" s="75" t="b">
        <v>0</v>
      </c>
      <c r="I107" s="75" t="b">
        <v>0</v>
      </c>
      <c r="J107" s="75" t="b">
        <v>0</v>
      </c>
      <c r="K107" s="75" t="b">
        <v>0</v>
      </c>
      <c r="L107" s="75" t="b">
        <v>0</v>
      </c>
      <c r="M107" s="76"/>
      <c r="N107" s="76"/>
      <c r="O107" s="77"/>
    </row>
    <row r="108" spans="3:15" ht="25.5">
      <c r="C108" s="95"/>
      <c r="D108" s="12"/>
      <c r="E108" s="67" t="s">
        <v>1256</v>
      </c>
      <c r="F108" s="66" t="s">
        <v>1331</v>
      </c>
      <c r="G108" s="66" t="s">
        <v>1330</v>
      </c>
      <c r="H108" s="75" t="b">
        <v>0</v>
      </c>
      <c r="I108" s="75" t="b">
        <v>0</v>
      </c>
      <c r="J108" s="75" t="b">
        <v>0</v>
      </c>
      <c r="K108" s="75" t="b">
        <v>0</v>
      </c>
      <c r="L108" s="75" t="b">
        <v>0</v>
      </c>
      <c r="M108" s="76"/>
      <c r="N108" s="76"/>
      <c r="O108" s="77"/>
    </row>
    <row r="109" spans="3:15" ht="25.5">
      <c r="C109" s="95"/>
      <c r="D109" s="12"/>
      <c r="E109" s="67" t="s">
        <v>1256</v>
      </c>
      <c r="F109" s="66" t="s">
        <v>1332</v>
      </c>
      <c r="G109" s="66" t="s">
        <v>272</v>
      </c>
      <c r="H109" s="75" t="b">
        <v>0</v>
      </c>
      <c r="I109" s="75" t="b">
        <v>0</v>
      </c>
      <c r="J109" s="75" t="b">
        <v>0</v>
      </c>
      <c r="K109" s="75" t="b">
        <v>0</v>
      </c>
      <c r="L109" s="75" t="b">
        <v>0</v>
      </c>
      <c r="M109" s="76"/>
      <c r="N109" s="76"/>
      <c r="O109" s="77"/>
    </row>
    <row r="110" spans="3:15" ht="25.5">
      <c r="C110" s="95"/>
      <c r="D110" s="12"/>
      <c r="E110" s="67" t="s">
        <v>1256</v>
      </c>
      <c r="F110" s="66" t="s">
        <v>1333</v>
      </c>
      <c r="G110" s="66" t="s">
        <v>1334</v>
      </c>
      <c r="H110" s="75" t="b">
        <v>0</v>
      </c>
      <c r="I110" s="75" t="b">
        <v>0</v>
      </c>
      <c r="J110" s="75" t="b">
        <v>0</v>
      </c>
      <c r="K110" s="75" t="b">
        <v>0</v>
      </c>
      <c r="L110" s="75" t="b">
        <v>0</v>
      </c>
      <c r="M110" s="76"/>
      <c r="N110" s="76"/>
      <c r="O110" s="77"/>
    </row>
    <row r="111" spans="3:15" ht="25.5">
      <c r="C111" s="95"/>
      <c r="D111" s="12"/>
      <c r="E111" s="67" t="s">
        <v>1256</v>
      </c>
      <c r="F111" s="66" t="s">
        <v>1335</v>
      </c>
      <c r="G111" s="66" t="s">
        <v>1336</v>
      </c>
      <c r="H111" s="75" t="b">
        <v>0</v>
      </c>
      <c r="I111" s="75" t="b">
        <v>0</v>
      </c>
      <c r="J111" s="75" t="b">
        <v>0</v>
      </c>
      <c r="K111" s="75" t="b">
        <v>0</v>
      </c>
      <c r="L111" s="75" t="b">
        <v>0</v>
      </c>
      <c r="M111" s="76"/>
      <c r="N111" s="76"/>
      <c r="O111" s="77"/>
    </row>
    <row r="112" spans="3:15" ht="48">
      <c r="C112" s="95"/>
      <c r="D112" s="12"/>
      <c r="E112" s="67" t="s">
        <v>1256</v>
      </c>
      <c r="F112" s="66" t="s">
        <v>1337</v>
      </c>
      <c r="G112" s="66" t="s">
        <v>1338</v>
      </c>
      <c r="H112" s="75" t="b">
        <v>0</v>
      </c>
      <c r="I112" s="75" t="b">
        <v>0</v>
      </c>
      <c r="J112" s="75" t="b">
        <v>0</v>
      </c>
      <c r="K112" s="75" t="b">
        <v>0</v>
      </c>
      <c r="L112" s="75" t="b">
        <v>0</v>
      </c>
      <c r="M112" s="76"/>
      <c r="N112" s="76"/>
      <c r="O112" s="77"/>
    </row>
    <row r="113" spans="3:15" ht="36">
      <c r="C113" s="95"/>
      <c r="D113" s="12"/>
      <c r="E113" s="67" t="s">
        <v>1256</v>
      </c>
      <c r="F113" s="66" t="s">
        <v>1339</v>
      </c>
      <c r="G113" s="66" t="s">
        <v>1340</v>
      </c>
      <c r="H113" s="75" t="b">
        <v>0</v>
      </c>
      <c r="I113" s="75" t="b">
        <v>0</v>
      </c>
      <c r="J113" s="75" t="b">
        <v>0</v>
      </c>
      <c r="K113" s="75" t="b">
        <v>0</v>
      </c>
      <c r="L113" s="75" t="b">
        <v>0</v>
      </c>
      <c r="M113" s="76"/>
      <c r="N113" s="76"/>
      <c r="O113" s="77"/>
    </row>
    <row r="114" spans="3:15" ht="48">
      <c r="C114" s="95"/>
      <c r="D114" s="12"/>
      <c r="E114" s="67" t="s">
        <v>1256</v>
      </c>
      <c r="F114" s="66" t="s">
        <v>1341</v>
      </c>
      <c r="G114" s="66" t="s">
        <v>1342</v>
      </c>
      <c r="H114" s="75" t="b">
        <v>0</v>
      </c>
      <c r="I114" s="75" t="b">
        <v>0</v>
      </c>
      <c r="J114" s="75" t="b">
        <v>0</v>
      </c>
      <c r="K114" s="75" t="b">
        <v>0</v>
      </c>
      <c r="L114" s="75" t="b">
        <v>0</v>
      </c>
      <c r="M114" s="76"/>
      <c r="N114" s="76"/>
      <c r="O114" s="77"/>
    </row>
    <row r="115" spans="3:15" ht="25.5">
      <c r="C115" s="95"/>
      <c r="D115" s="12"/>
      <c r="E115" s="67" t="s">
        <v>1256</v>
      </c>
      <c r="F115" s="66" t="s">
        <v>1343</v>
      </c>
      <c r="G115" s="66" t="s">
        <v>828</v>
      </c>
      <c r="H115" s="75" t="b">
        <v>0</v>
      </c>
      <c r="I115" s="75" t="b">
        <v>0</v>
      </c>
      <c r="J115" s="75" t="b">
        <v>0</v>
      </c>
      <c r="K115" s="75" t="b">
        <v>0</v>
      </c>
      <c r="L115" s="75" t="b">
        <v>0</v>
      </c>
      <c r="M115" s="76"/>
      <c r="N115" s="76"/>
      <c r="O115" s="77"/>
    </row>
    <row r="116" spans="3:15" ht="72">
      <c r="C116" s="95"/>
      <c r="D116" s="12"/>
      <c r="E116" s="67" t="s">
        <v>1087</v>
      </c>
      <c r="F116" s="66" t="s">
        <v>1088</v>
      </c>
      <c r="G116" s="66" t="s">
        <v>1089</v>
      </c>
      <c r="H116" s="75" t="b">
        <v>0</v>
      </c>
      <c r="I116" s="75" t="b">
        <v>0</v>
      </c>
      <c r="J116" s="75" t="b">
        <v>0</v>
      </c>
      <c r="K116" s="75" t="b">
        <v>0</v>
      </c>
      <c r="L116" s="75" t="b">
        <v>0</v>
      </c>
      <c r="M116" s="76"/>
      <c r="N116" s="76"/>
      <c r="O116" s="77"/>
    </row>
    <row r="117" spans="3:15" ht="48">
      <c r="C117" s="95"/>
      <c r="D117" s="12"/>
      <c r="E117" s="67" t="s">
        <v>1087</v>
      </c>
      <c r="F117" s="66" t="s">
        <v>831</v>
      </c>
      <c r="G117" s="66" t="s">
        <v>1090</v>
      </c>
      <c r="H117" s="75" t="b">
        <v>0</v>
      </c>
      <c r="I117" s="75" t="b">
        <v>0</v>
      </c>
      <c r="J117" s="75" t="b">
        <v>0</v>
      </c>
      <c r="K117" s="75" t="b">
        <v>0</v>
      </c>
      <c r="L117" s="75" t="b">
        <v>0</v>
      </c>
      <c r="M117" s="76"/>
      <c r="N117" s="76"/>
      <c r="O117" s="77"/>
    </row>
    <row r="118" spans="3:15" ht="38.25">
      <c r="C118" s="95"/>
      <c r="D118" s="12"/>
      <c r="E118" s="67" t="s">
        <v>1087</v>
      </c>
      <c r="F118" s="66" t="s">
        <v>833</v>
      </c>
      <c r="G118" s="66" t="s">
        <v>1091</v>
      </c>
      <c r="H118" s="75" t="b">
        <v>0</v>
      </c>
      <c r="I118" s="75" t="b">
        <v>0</v>
      </c>
      <c r="J118" s="75" t="b">
        <v>0</v>
      </c>
      <c r="K118" s="75" t="b">
        <v>0</v>
      </c>
      <c r="L118" s="75" t="b">
        <v>0</v>
      </c>
      <c r="M118" s="76"/>
      <c r="N118" s="76"/>
      <c r="O118" s="77"/>
    </row>
    <row r="119" spans="3:15" ht="38.25">
      <c r="C119" s="95"/>
      <c r="D119" s="12"/>
      <c r="E119" s="67" t="s">
        <v>1087</v>
      </c>
      <c r="F119" s="66" t="s">
        <v>834</v>
      </c>
      <c r="G119" s="66" t="s">
        <v>1092</v>
      </c>
      <c r="H119" s="75" t="b">
        <v>0</v>
      </c>
      <c r="I119" s="75" t="b">
        <v>0</v>
      </c>
      <c r="J119" s="75" t="b">
        <v>0</v>
      </c>
      <c r="K119" s="75" t="b">
        <v>0</v>
      </c>
      <c r="L119" s="75" t="b">
        <v>0</v>
      </c>
      <c r="M119" s="76"/>
      <c r="N119" s="76"/>
      <c r="O119" s="77"/>
    </row>
    <row r="120" spans="3:15" ht="48">
      <c r="C120" s="95"/>
      <c r="D120" s="12"/>
      <c r="E120" s="67" t="s">
        <v>1087</v>
      </c>
      <c r="F120" s="66" t="s">
        <v>836</v>
      </c>
      <c r="G120" s="66" t="s">
        <v>1093</v>
      </c>
      <c r="H120" s="75" t="b">
        <v>0</v>
      </c>
      <c r="I120" s="75" t="b">
        <v>0</v>
      </c>
      <c r="J120" s="75" t="b">
        <v>0</v>
      </c>
      <c r="K120" s="75" t="b">
        <v>0</v>
      </c>
      <c r="L120" s="75" t="b">
        <v>0</v>
      </c>
      <c r="M120" s="76"/>
      <c r="N120" s="76"/>
      <c r="O120" s="77"/>
    </row>
    <row r="121" spans="3:15" ht="38.25">
      <c r="C121" s="95"/>
      <c r="D121" s="12"/>
      <c r="E121" s="67" t="s">
        <v>1087</v>
      </c>
      <c r="F121" s="66" t="s">
        <v>1094</v>
      </c>
      <c r="G121" s="66" t="s">
        <v>1095</v>
      </c>
      <c r="H121" s="75" t="b">
        <v>0</v>
      </c>
      <c r="I121" s="75" t="b">
        <v>0</v>
      </c>
      <c r="J121" s="75" t="b">
        <v>0</v>
      </c>
      <c r="K121" s="75" t="b">
        <v>0</v>
      </c>
      <c r="L121" s="75" t="b">
        <v>0</v>
      </c>
      <c r="M121" s="76"/>
      <c r="N121" s="76"/>
      <c r="O121" s="77"/>
    </row>
    <row r="122" spans="3:15" ht="38.25">
      <c r="C122" s="95"/>
      <c r="D122" s="12"/>
      <c r="E122" s="67" t="s">
        <v>1087</v>
      </c>
      <c r="F122" s="66" t="s">
        <v>1096</v>
      </c>
      <c r="G122" s="66" t="s">
        <v>1097</v>
      </c>
      <c r="H122" s="75" t="b">
        <v>0</v>
      </c>
      <c r="I122" s="75" t="b">
        <v>0</v>
      </c>
      <c r="J122" s="75" t="b">
        <v>0</v>
      </c>
      <c r="K122" s="75" t="b">
        <v>0</v>
      </c>
      <c r="L122" s="75" t="b">
        <v>0</v>
      </c>
      <c r="M122" s="76"/>
      <c r="N122" s="76"/>
      <c r="O122" s="77"/>
    </row>
    <row r="123" spans="3:15" ht="38.25">
      <c r="C123" s="95"/>
      <c r="D123" s="12"/>
      <c r="E123" s="67" t="s">
        <v>1087</v>
      </c>
      <c r="F123" s="66" t="s">
        <v>1098</v>
      </c>
      <c r="G123" s="66" t="s">
        <v>1099</v>
      </c>
      <c r="H123" s="75" t="b">
        <v>0</v>
      </c>
      <c r="I123" s="75" t="b">
        <v>0</v>
      </c>
      <c r="J123" s="75" t="b">
        <v>0</v>
      </c>
      <c r="K123" s="75" t="b">
        <v>0</v>
      </c>
      <c r="L123" s="75" t="b">
        <v>0</v>
      </c>
      <c r="M123" s="76"/>
      <c r="N123" s="76"/>
      <c r="O123" s="77"/>
    </row>
    <row r="124" spans="3:15" ht="38.25">
      <c r="C124" s="95"/>
      <c r="D124" s="12"/>
      <c r="E124" s="67" t="s">
        <v>1087</v>
      </c>
      <c r="F124" s="66" t="s">
        <v>848</v>
      </c>
      <c r="G124" s="66" t="s">
        <v>215</v>
      </c>
      <c r="H124" s="75" t="b">
        <v>0</v>
      </c>
      <c r="I124" s="75" t="b">
        <v>0</v>
      </c>
      <c r="J124" s="75" t="b">
        <v>0</v>
      </c>
      <c r="K124" s="75" t="b">
        <v>0</v>
      </c>
      <c r="L124" s="75" t="b">
        <v>0</v>
      </c>
      <c r="M124" s="76"/>
      <c r="N124" s="76"/>
      <c r="O124" s="77"/>
    </row>
    <row r="125" spans="3:15" ht="38.25">
      <c r="C125" s="95"/>
      <c r="D125" s="12"/>
      <c r="E125" s="67" t="s">
        <v>1087</v>
      </c>
      <c r="F125" s="66" t="s">
        <v>1100</v>
      </c>
      <c r="G125" s="66" t="s">
        <v>1101</v>
      </c>
      <c r="H125" s="75" t="b">
        <v>0</v>
      </c>
      <c r="I125" s="75" t="b">
        <v>0</v>
      </c>
      <c r="J125" s="75" t="b">
        <v>0</v>
      </c>
      <c r="K125" s="75" t="b">
        <v>0</v>
      </c>
      <c r="L125" s="75" t="b">
        <v>0</v>
      </c>
      <c r="M125" s="76"/>
      <c r="N125" s="76"/>
      <c r="O125" s="77"/>
    </row>
    <row r="126" spans="3:15" ht="38.25">
      <c r="C126" s="95"/>
      <c r="D126" s="12"/>
      <c r="E126" s="67" t="s">
        <v>1087</v>
      </c>
      <c r="F126" s="66" t="s">
        <v>1102</v>
      </c>
      <c r="G126" s="66" t="s">
        <v>1091</v>
      </c>
      <c r="H126" s="75" t="b">
        <v>0</v>
      </c>
      <c r="I126" s="75" t="b">
        <v>0</v>
      </c>
      <c r="J126" s="75" t="b">
        <v>0</v>
      </c>
      <c r="K126" s="75" t="b">
        <v>0</v>
      </c>
      <c r="L126" s="75" t="b">
        <v>0</v>
      </c>
      <c r="M126" s="76"/>
      <c r="N126" s="76"/>
      <c r="O126" s="77"/>
    </row>
    <row r="127" spans="3:15" ht="113.25">
      <c r="C127" s="95"/>
      <c r="D127" s="12"/>
      <c r="E127" s="67" t="s">
        <v>1215</v>
      </c>
      <c r="F127" s="66" t="s">
        <v>1216</v>
      </c>
      <c r="G127" s="66" t="s">
        <v>1217</v>
      </c>
      <c r="H127" s="75" t="b">
        <v>0</v>
      </c>
      <c r="I127" s="75" t="b">
        <v>0</v>
      </c>
      <c r="J127" s="75" t="b">
        <v>0</v>
      </c>
      <c r="K127" s="75" t="b">
        <v>0</v>
      </c>
      <c r="L127" s="75" t="b">
        <v>0</v>
      </c>
      <c r="M127" s="76"/>
      <c r="N127" s="76"/>
      <c r="O127" s="77"/>
    </row>
    <row r="128" spans="3:15" ht="113.25">
      <c r="C128" s="95"/>
      <c r="D128" s="12"/>
      <c r="E128" s="67" t="s">
        <v>1215</v>
      </c>
      <c r="F128" s="66" t="s">
        <v>1218</v>
      </c>
      <c r="G128" s="66" t="s">
        <v>1106</v>
      </c>
      <c r="H128" s="75" t="b">
        <v>0</v>
      </c>
      <c r="I128" s="75" t="b">
        <v>0</v>
      </c>
      <c r="J128" s="75" t="b">
        <v>0</v>
      </c>
      <c r="K128" s="75" t="b">
        <v>0</v>
      </c>
      <c r="L128" s="75" t="b">
        <v>0</v>
      </c>
      <c r="M128" s="76"/>
      <c r="N128" s="76"/>
      <c r="O128" s="77"/>
    </row>
    <row r="129" spans="3:15" ht="113.25">
      <c r="C129" s="95"/>
      <c r="D129" s="12"/>
      <c r="E129" s="67" t="s">
        <v>1215</v>
      </c>
      <c r="F129" s="66" t="s">
        <v>1219</v>
      </c>
      <c r="G129" s="66" t="s">
        <v>1220</v>
      </c>
      <c r="H129" s="75" t="b">
        <v>0</v>
      </c>
      <c r="I129" s="75" t="b">
        <v>0</v>
      </c>
      <c r="J129" s="75" t="b">
        <v>0</v>
      </c>
      <c r="K129" s="75" t="b">
        <v>0</v>
      </c>
      <c r="L129" s="75" t="b">
        <v>0</v>
      </c>
      <c r="M129" s="76"/>
      <c r="N129" s="76"/>
      <c r="O129" s="77"/>
    </row>
    <row r="130" spans="3:15" ht="113.25">
      <c r="C130" s="95"/>
      <c r="D130" s="12"/>
      <c r="E130" s="67" t="s">
        <v>1215</v>
      </c>
      <c r="F130" s="66" t="s">
        <v>1221</v>
      </c>
      <c r="G130" s="66" t="s">
        <v>1222</v>
      </c>
      <c r="H130" s="75" t="b">
        <v>0</v>
      </c>
      <c r="I130" s="75" t="b">
        <v>0</v>
      </c>
      <c r="J130" s="75" t="b">
        <v>0</v>
      </c>
      <c r="K130" s="75" t="b">
        <v>0</v>
      </c>
      <c r="L130" s="75" t="b">
        <v>0</v>
      </c>
      <c r="M130" s="76"/>
      <c r="N130" s="76"/>
      <c r="O130" s="77"/>
    </row>
    <row r="131" spans="3:15" ht="113.25">
      <c r="C131" s="95"/>
      <c r="D131" s="12"/>
      <c r="E131" s="67" t="s">
        <v>1215</v>
      </c>
      <c r="F131" s="66" t="s">
        <v>1223</v>
      </c>
      <c r="G131" s="66" t="s">
        <v>1224</v>
      </c>
      <c r="H131" s="75" t="b">
        <v>0</v>
      </c>
      <c r="I131" s="75" t="b">
        <v>0</v>
      </c>
      <c r="J131" s="75" t="b">
        <v>0</v>
      </c>
      <c r="K131" s="75" t="b">
        <v>0</v>
      </c>
      <c r="L131" s="75" t="b">
        <v>0</v>
      </c>
      <c r="M131" s="76"/>
      <c r="N131" s="76"/>
      <c r="O131" s="77"/>
    </row>
    <row r="132" spans="3:15" ht="113.25">
      <c r="C132" s="95"/>
      <c r="D132" s="12"/>
      <c r="E132" s="67" t="s">
        <v>1215</v>
      </c>
      <c r="F132" s="66" t="s">
        <v>1225</v>
      </c>
      <c r="G132" s="66" t="s">
        <v>1226</v>
      </c>
      <c r="H132" s="75" t="b">
        <v>0</v>
      </c>
      <c r="I132" s="75" t="b">
        <v>0</v>
      </c>
      <c r="J132" s="75" t="b">
        <v>0</v>
      </c>
      <c r="K132" s="75" t="b">
        <v>0</v>
      </c>
      <c r="L132" s="75" t="b">
        <v>0</v>
      </c>
      <c r="M132" s="76"/>
      <c r="N132" s="76"/>
      <c r="O132" s="77"/>
    </row>
    <row r="133" spans="3:15" ht="113.25">
      <c r="C133" s="95"/>
      <c r="D133" s="12"/>
      <c r="E133" s="67" t="s">
        <v>1215</v>
      </c>
      <c r="F133" s="66" t="s">
        <v>906</v>
      </c>
      <c r="G133" s="66" t="s">
        <v>1227</v>
      </c>
      <c r="H133" s="75" t="b">
        <v>0</v>
      </c>
      <c r="I133" s="75" t="b">
        <v>0</v>
      </c>
      <c r="J133" s="75" t="b">
        <v>0</v>
      </c>
      <c r="K133" s="75" t="b">
        <v>0</v>
      </c>
      <c r="L133" s="75" t="b">
        <v>0</v>
      </c>
      <c r="M133" s="76"/>
      <c r="N133" s="76"/>
      <c r="O133" s="77"/>
    </row>
    <row r="134" spans="3:15" ht="113.25">
      <c r="C134" s="95"/>
      <c r="D134" s="12"/>
      <c r="E134" s="67" t="s">
        <v>1215</v>
      </c>
      <c r="F134" s="66" t="s">
        <v>1228</v>
      </c>
      <c r="G134" s="66" t="s">
        <v>1222</v>
      </c>
      <c r="H134" s="75" t="b">
        <v>0</v>
      </c>
      <c r="I134" s="75" t="b">
        <v>0</v>
      </c>
      <c r="J134" s="75" t="b">
        <v>0</v>
      </c>
      <c r="K134" s="75" t="b">
        <v>0</v>
      </c>
      <c r="L134" s="75" t="b">
        <v>0</v>
      </c>
      <c r="M134" s="76"/>
      <c r="N134" s="76"/>
      <c r="O134" s="77"/>
    </row>
    <row r="135" spans="3:15" ht="113.25">
      <c r="C135" s="95"/>
      <c r="D135" s="12"/>
      <c r="E135" s="67" t="s">
        <v>1215</v>
      </c>
      <c r="F135" s="66" t="s">
        <v>1229</v>
      </c>
      <c r="G135" s="66" t="s">
        <v>1224</v>
      </c>
      <c r="H135" s="75" t="b">
        <v>0</v>
      </c>
      <c r="I135" s="75" t="b">
        <v>0</v>
      </c>
      <c r="J135" s="75" t="b">
        <v>0</v>
      </c>
      <c r="K135" s="75" t="b">
        <v>0</v>
      </c>
      <c r="L135" s="75" t="b">
        <v>0</v>
      </c>
      <c r="M135" s="76"/>
      <c r="N135" s="76"/>
      <c r="O135" s="77"/>
    </row>
    <row r="136" spans="3:15" ht="113.25">
      <c r="C136" s="95"/>
      <c r="D136" s="12"/>
      <c r="E136" s="67" t="s">
        <v>1215</v>
      </c>
      <c r="F136" s="66" t="s">
        <v>1230</v>
      </c>
      <c r="G136" s="66" t="s">
        <v>1226</v>
      </c>
      <c r="H136" s="75" t="b">
        <v>0</v>
      </c>
      <c r="I136" s="75" t="b">
        <v>0</v>
      </c>
      <c r="J136" s="75" t="b">
        <v>0</v>
      </c>
      <c r="K136" s="75" t="b">
        <v>0</v>
      </c>
      <c r="L136" s="75" t="b">
        <v>0</v>
      </c>
      <c r="M136" s="76"/>
      <c r="N136" s="76"/>
      <c r="O136" s="77"/>
    </row>
    <row r="137" spans="3:15" ht="113.25">
      <c r="C137" s="95"/>
      <c r="D137" s="12"/>
      <c r="E137" s="67" t="s">
        <v>1215</v>
      </c>
      <c r="F137" s="66" t="s">
        <v>1231</v>
      </c>
      <c r="G137" s="66" t="s">
        <v>1232</v>
      </c>
      <c r="H137" s="75" t="b">
        <v>0</v>
      </c>
      <c r="I137" s="75" t="b">
        <v>0</v>
      </c>
      <c r="J137" s="75" t="b">
        <v>0</v>
      </c>
      <c r="K137" s="75" t="b">
        <v>0</v>
      </c>
      <c r="L137" s="75" t="b">
        <v>0</v>
      </c>
      <c r="M137" s="76"/>
      <c r="N137" s="76"/>
      <c r="O137" s="77"/>
    </row>
    <row r="138" spans="3:15" ht="113.25">
      <c r="C138" s="95"/>
      <c r="D138" s="12"/>
      <c r="E138" s="67" t="s">
        <v>1215</v>
      </c>
      <c r="F138" s="66" t="s">
        <v>923</v>
      </c>
      <c r="G138" s="66" t="s">
        <v>1233</v>
      </c>
      <c r="H138" s="75" t="b">
        <v>0</v>
      </c>
      <c r="I138" s="75" t="b">
        <v>0</v>
      </c>
      <c r="J138" s="75" t="b">
        <v>0</v>
      </c>
      <c r="K138" s="75" t="b">
        <v>0</v>
      </c>
      <c r="L138" s="75" t="b">
        <v>0</v>
      </c>
      <c r="M138" s="76"/>
      <c r="N138" s="76"/>
      <c r="O138" s="77"/>
    </row>
    <row r="139" spans="3:15" ht="113.25">
      <c r="C139" s="95"/>
      <c r="D139" s="12"/>
      <c r="E139" s="67" t="s">
        <v>1215</v>
      </c>
      <c r="F139" s="66" t="s">
        <v>1234</v>
      </c>
      <c r="G139" s="66" t="s">
        <v>1235</v>
      </c>
      <c r="H139" s="75" t="b">
        <v>0</v>
      </c>
      <c r="I139" s="75" t="b">
        <v>0</v>
      </c>
      <c r="J139" s="75" t="b">
        <v>0</v>
      </c>
      <c r="K139" s="75" t="b">
        <v>0</v>
      </c>
      <c r="L139" s="75" t="b">
        <v>0</v>
      </c>
      <c r="M139" s="76"/>
      <c r="N139" s="76"/>
      <c r="O139" s="77"/>
    </row>
    <row r="140" spans="3:15" ht="113.25">
      <c r="C140" s="96"/>
      <c r="D140" s="18"/>
      <c r="E140" s="70" t="s">
        <v>1215</v>
      </c>
      <c r="F140" s="71" t="s">
        <v>933</v>
      </c>
      <c r="G140" s="71" t="s">
        <v>1176</v>
      </c>
      <c r="H140" s="78" t="b">
        <v>0</v>
      </c>
      <c r="I140" s="78" t="b">
        <v>0</v>
      </c>
      <c r="J140" s="78" t="b">
        <v>0</v>
      </c>
      <c r="K140" s="78" t="b">
        <v>0</v>
      </c>
      <c r="L140" s="78" t="b">
        <v>0</v>
      </c>
      <c r="M140" s="79"/>
      <c r="N140" s="79"/>
      <c r="O140" s="80"/>
    </row>
    <row r="141" spans="3:15">
      <c r="M141">
        <f>SUM(M8:M140)</f>
        <v>0</v>
      </c>
      <c r="N141">
        <f>SUM(N8:N140)</f>
        <v>0</v>
      </c>
      <c r="O141">
        <f>SUM(O8:O140)</f>
        <v>0</v>
      </c>
    </row>
  </sheetData>
  <mergeCells count="1">
    <mergeCell ref="B2:C2"/>
  </mergeCells>
  <conditionalFormatting sqref="H8:O72">
    <cfRule type="expression" dxfId="5" priority="5">
      <formula>MOD(ROW(),2)=1</formula>
    </cfRule>
  </conditionalFormatting>
  <conditionalFormatting sqref="H73:O140">
    <cfRule type="expression" dxfId="4" priority="4">
      <formula>MOD(ROW(),2)=1</formula>
    </cfRule>
  </conditionalFormatting>
  <conditionalFormatting sqref="C8:G140">
    <cfRule type="expression" dxfId="3" priority="3">
      <formula>MOD(ROW(),2)=19</formula>
    </cfRule>
  </conditionalFormatting>
  <conditionalFormatting sqref="C8:G140">
    <cfRule type="expression" dxfId="2" priority="2">
      <formula>MOD(ROW(),2)=1</formula>
    </cfRule>
  </conditionalFormatting>
  <conditionalFormatting sqref="S7:S39">
    <cfRule type="expression" dxfId="1" priority="1">
      <formula>MOD(ROW(),2)=1</formula>
    </cfRule>
  </conditionalFormatting>
  <dataValidations count="1">
    <dataValidation type="list" allowBlank="1" showInputMessage="1" showErrorMessage="1" sqref="D1:D1048576" xr:uid="{8658D0D4-4A45-4ACE-8C6E-E555040EF048}">
      <formula1>$S$7:$S$19</formula1>
    </dataValidation>
  </dataValidations>
  <hyperlinks>
    <hyperlink ref="B2:C2" location="MENU" display="MENU" xr:uid="{62EBCFE0-047A-4401-8FE0-EABB10A8349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CDC6-85DA-4CF3-8E58-80D725FCDAF2}">
  <dimension ref="B2:L27"/>
  <sheetViews>
    <sheetView workbookViewId="0">
      <selection activeCell="B2" sqref="B2:C2"/>
    </sheetView>
  </sheetViews>
  <sheetFormatPr defaultRowHeight="15"/>
  <cols>
    <col min="3" max="3" width="15" customWidth="1"/>
    <col min="4" max="4" width="17.42578125" customWidth="1"/>
    <col min="5" max="5" width="18" customWidth="1"/>
    <col min="6" max="6" width="18.140625" customWidth="1"/>
    <col min="7" max="7" width="18.42578125" customWidth="1"/>
    <col min="8" max="8" width="17.28515625" customWidth="1"/>
    <col min="9" max="9" width="19.42578125" customWidth="1"/>
  </cols>
  <sheetData>
    <row r="2" spans="2:12" ht="46.5">
      <c r="B2" s="211" t="s">
        <v>30</v>
      </c>
      <c r="C2" s="211"/>
    </row>
    <row r="4" spans="2:12" ht="91.5">
      <c r="C4" s="10" t="s">
        <v>978</v>
      </c>
      <c r="D4" s="11" t="s">
        <v>1373</v>
      </c>
      <c r="E4" s="11" t="s">
        <v>25</v>
      </c>
      <c r="F4" s="11" t="s">
        <v>29</v>
      </c>
      <c r="G4" s="11" t="s">
        <v>35</v>
      </c>
      <c r="H4" s="11" t="s">
        <v>36</v>
      </c>
      <c r="I4" s="11" t="s">
        <v>37</v>
      </c>
      <c r="J4" s="11" t="s">
        <v>2</v>
      </c>
      <c r="K4" s="11" t="s">
        <v>3</v>
      </c>
      <c r="L4" s="14" t="s">
        <v>4</v>
      </c>
    </row>
    <row r="5" spans="2:12">
      <c r="C5" s="15" t="s">
        <v>1374</v>
      </c>
      <c r="D5" s="12">
        <v>28</v>
      </c>
      <c r="E5" s="13" t="b">
        <v>0</v>
      </c>
      <c r="F5" s="13" t="b">
        <v>0</v>
      </c>
      <c r="G5" s="13" t="b">
        <v>0</v>
      </c>
      <c r="H5" s="13" t="b">
        <v>0</v>
      </c>
      <c r="I5" s="12"/>
      <c r="J5" s="12">
        <v>92</v>
      </c>
      <c r="K5" s="12">
        <v>88</v>
      </c>
      <c r="L5" s="16">
        <v>4</v>
      </c>
    </row>
    <row r="6" spans="2:12">
      <c r="C6" s="15"/>
      <c r="D6" s="12"/>
      <c r="E6" s="13" t="b">
        <v>0</v>
      </c>
      <c r="F6" s="13" t="b">
        <v>0</v>
      </c>
      <c r="G6" s="13" t="b">
        <v>0</v>
      </c>
      <c r="H6" s="13" t="b">
        <v>0</v>
      </c>
      <c r="I6" s="12"/>
      <c r="J6" s="12"/>
      <c r="K6" s="12"/>
      <c r="L6" s="16"/>
    </row>
    <row r="7" spans="2:12">
      <c r="C7" s="15"/>
      <c r="D7" s="12"/>
      <c r="E7" s="13" t="b">
        <v>0</v>
      </c>
      <c r="F7" s="13" t="b">
        <v>0</v>
      </c>
      <c r="G7" s="13" t="b">
        <v>0</v>
      </c>
      <c r="H7" s="13" t="b">
        <v>0</v>
      </c>
      <c r="I7" s="12"/>
      <c r="J7" s="12"/>
      <c r="K7" s="12"/>
      <c r="L7" s="16"/>
    </row>
    <row r="8" spans="2:12">
      <c r="C8" s="15"/>
      <c r="D8" s="12"/>
      <c r="E8" s="13" t="b">
        <v>0</v>
      </c>
      <c r="F8" s="13" t="b">
        <v>0</v>
      </c>
      <c r="G8" s="13" t="b">
        <v>0</v>
      </c>
      <c r="H8" s="13" t="b">
        <v>0</v>
      </c>
      <c r="I8" s="12"/>
      <c r="J8" s="12"/>
      <c r="K8" s="12"/>
      <c r="L8" s="16"/>
    </row>
    <row r="9" spans="2:12">
      <c r="C9" s="15"/>
      <c r="D9" s="12"/>
      <c r="E9" s="13" t="b">
        <v>0</v>
      </c>
      <c r="F9" s="13" t="b">
        <v>0</v>
      </c>
      <c r="G9" s="13" t="b">
        <v>0</v>
      </c>
      <c r="H9" s="13" t="b">
        <v>0</v>
      </c>
      <c r="I9" s="12"/>
      <c r="J9" s="12"/>
      <c r="K9" s="12"/>
      <c r="L9" s="16"/>
    </row>
    <row r="10" spans="2:12">
      <c r="C10" s="15"/>
      <c r="D10" s="12"/>
      <c r="E10" s="13" t="b">
        <v>0</v>
      </c>
      <c r="F10" s="13" t="b">
        <v>0</v>
      </c>
      <c r="G10" s="13" t="b">
        <v>0</v>
      </c>
      <c r="H10" s="13" t="b">
        <v>0</v>
      </c>
      <c r="I10" s="12"/>
      <c r="J10" s="12"/>
      <c r="K10" s="12"/>
      <c r="L10" s="16"/>
    </row>
    <row r="11" spans="2:12">
      <c r="C11" s="15"/>
      <c r="D11" s="12"/>
      <c r="E11" s="13" t="b">
        <v>0</v>
      </c>
      <c r="F11" s="13" t="b">
        <v>0</v>
      </c>
      <c r="G11" s="13" t="b">
        <v>0</v>
      </c>
      <c r="H11" s="13" t="b">
        <v>0</v>
      </c>
      <c r="I11" s="12"/>
      <c r="J11" s="12"/>
      <c r="K11" s="12"/>
      <c r="L11" s="16"/>
    </row>
    <row r="12" spans="2:12">
      <c r="C12" s="15"/>
      <c r="D12" s="12"/>
      <c r="E12" s="13" t="b">
        <v>0</v>
      </c>
      <c r="F12" s="13" t="b">
        <v>0</v>
      </c>
      <c r="G12" s="13" t="b">
        <v>0</v>
      </c>
      <c r="H12" s="13" t="b">
        <v>0</v>
      </c>
      <c r="I12" s="12"/>
      <c r="J12" s="12"/>
      <c r="K12" s="12"/>
      <c r="L12" s="16"/>
    </row>
    <row r="13" spans="2:12">
      <c r="C13" s="15"/>
      <c r="D13" s="12"/>
      <c r="E13" s="13" t="b">
        <v>0</v>
      </c>
      <c r="F13" s="13" t="b">
        <v>0</v>
      </c>
      <c r="G13" s="13" t="b">
        <v>0</v>
      </c>
      <c r="H13" s="13" t="b">
        <v>0</v>
      </c>
      <c r="I13" s="12"/>
      <c r="J13" s="12"/>
      <c r="K13" s="12"/>
      <c r="L13" s="16"/>
    </row>
    <row r="14" spans="2:12">
      <c r="C14" s="15"/>
      <c r="D14" s="12"/>
      <c r="E14" s="13" t="b">
        <v>0</v>
      </c>
      <c r="F14" s="13" t="b">
        <v>0</v>
      </c>
      <c r="G14" s="13" t="b">
        <v>0</v>
      </c>
      <c r="H14" s="13" t="b">
        <v>0</v>
      </c>
      <c r="I14" s="12"/>
      <c r="J14" s="12"/>
      <c r="K14" s="12"/>
      <c r="L14" s="16"/>
    </row>
    <row r="15" spans="2:12">
      <c r="C15" s="15"/>
      <c r="D15" s="12"/>
      <c r="E15" s="13" t="b">
        <v>0</v>
      </c>
      <c r="F15" s="13" t="b">
        <v>0</v>
      </c>
      <c r="G15" s="13" t="b">
        <v>0</v>
      </c>
      <c r="H15" s="13" t="b">
        <v>0</v>
      </c>
      <c r="I15" s="12"/>
      <c r="J15" s="12"/>
      <c r="K15" s="12"/>
      <c r="L15" s="16"/>
    </row>
    <row r="16" spans="2:12">
      <c r="C16" s="15"/>
      <c r="D16" s="12"/>
      <c r="E16" s="13" t="b">
        <v>0</v>
      </c>
      <c r="F16" s="13" t="b">
        <v>0</v>
      </c>
      <c r="G16" s="13" t="b">
        <v>0</v>
      </c>
      <c r="H16" s="13" t="b">
        <v>0</v>
      </c>
      <c r="I16" s="12"/>
      <c r="J16" s="12"/>
      <c r="K16" s="12"/>
      <c r="L16" s="16"/>
    </row>
    <row r="17" spans="3:12">
      <c r="C17" s="15"/>
      <c r="D17" s="12"/>
      <c r="E17" s="13" t="b">
        <v>0</v>
      </c>
      <c r="F17" s="13" t="b">
        <v>0</v>
      </c>
      <c r="G17" s="13" t="b">
        <v>0</v>
      </c>
      <c r="H17" s="13" t="b">
        <v>0</v>
      </c>
      <c r="I17" s="12"/>
      <c r="J17" s="12"/>
      <c r="K17" s="12"/>
      <c r="L17" s="16"/>
    </row>
    <row r="18" spans="3:12">
      <c r="C18" s="15"/>
      <c r="D18" s="12"/>
      <c r="E18" s="13" t="b">
        <v>0</v>
      </c>
      <c r="F18" s="13" t="b">
        <v>0</v>
      </c>
      <c r="G18" s="13" t="b">
        <v>0</v>
      </c>
      <c r="H18" s="13" t="b">
        <v>0</v>
      </c>
      <c r="I18" s="12"/>
      <c r="J18" s="12"/>
      <c r="K18" s="12"/>
      <c r="L18" s="16"/>
    </row>
    <row r="19" spans="3:12">
      <c r="C19" s="15"/>
      <c r="D19" s="12"/>
      <c r="E19" s="13" t="b">
        <v>0</v>
      </c>
      <c r="F19" s="13" t="b">
        <v>0</v>
      </c>
      <c r="G19" s="13" t="b">
        <v>0</v>
      </c>
      <c r="H19" s="13" t="b">
        <v>0</v>
      </c>
      <c r="I19" s="12"/>
      <c r="J19" s="12"/>
      <c r="K19" s="12"/>
      <c r="L19" s="16"/>
    </row>
    <row r="20" spans="3:12">
      <c r="C20" s="15"/>
      <c r="D20" s="12"/>
      <c r="E20" s="13" t="b">
        <v>0</v>
      </c>
      <c r="F20" s="13" t="b">
        <v>0</v>
      </c>
      <c r="G20" s="13" t="b">
        <v>0</v>
      </c>
      <c r="H20" s="13" t="b">
        <v>0</v>
      </c>
      <c r="I20" s="12"/>
      <c r="J20" s="12"/>
      <c r="K20" s="12"/>
      <c r="L20" s="16"/>
    </row>
    <row r="21" spans="3:12">
      <c r="C21" s="15"/>
      <c r="D21" s="12"/>
      <c r="E21" s="13" t="b">
        <v>0</v>
      </c>
      <c r="F21" s="13" t="b">
        <v>0</v>
      </c>
      <c r="G21" s="13" t="b">
        <v>0</v>
      </c>
      <c r="H21" s="13" t="b">
        <v>0</v>
      </c>
      <c r="I21" s="12"/>
      <c r="J21" s="12"/>
      <c r="K21" s="12"/>
      <c r="L21" s="16"/>
    </row>
    <row r="22" spans="3:12">
      <c r="C22" s="15"/>
      <c r="D22" s="12"/>
      <c r="E22" s="13" t="b">
        <v>0</v>
      </c>
      <c r="F22" s="13" t="b">
        <v>0</v>
      </c>
      <c r="G22" s="13" t="b">
        <v>0</v>
      </c>
      <c r="H22" s="13" t="b">
        <v>0</v>
      </c>
      <c r="I22" s="12"/>
      <c r="J22" s="12"/>
      <c r="K22" s="12"/>
      <c r="L22" s="16"/>
    </row>
    <row r="23" spans="3:12">
      <c r="C23" s="15"/>
      <c r="D23" s="12"/>
      <c r="E23" s="13" t="b">
        <v>0</v>
      </c>
      <c r="F23" s="13" t="b">
        <v>0</v>
      </c>
      <c r="G23" s="13" t="b">
        <v>0</v>
      </c>
      <c r="H23" s="13" t="b">
        <v>0</v>
      </c>
      <c r="I23" s="12"/>
      <c r="J23" s="12"/>
      <c r="K23" s="12"/>
      <c r="L23" s="16"/>
    </row>
    <row r="24" spans="3:12">
      <c r="C24" s="15"/>
      <c r="D24" s="12"/>
      <c r="E24" s="13" t="b">
        <v>0</v>
      </c>
      <c r="F24" s="13" t="b">
        <v>0</v>
      </c>
      <c r="G24" s="13" t="b">
        <v>0</v>
      </c>
      <c r="H24" s="13" t="b">
        <v>0</v>
      </c>
      <c r="I24" s="12"/>
      <c r="J24" s="12"/>
      <c r="K24" s="12"/>
      <c r="L24" s="16"/>
    </row>
    <row r="25" spans="3:12">
      <c r="C25" s="15"/>
      <c r="D25" s="12"/>
      <c r="E25" s="13" t="b">
        <v>0</v>
      </c>
      <c r="F25" s="13" t="b">
        <v>0</v>
      </c>
      <c r="G25" s="13" t="b">
        <v>0</v>
      </c>
      <c r="H25" s="13" t="b">
        <v>0</v>
      </c>
      <c r="I25" s="12"/>
      <c r="J25" s="12"/>
      <c r="K25" s="12"/>
      <c r="L25" s="16"/>
    </row>
    <row r="26" spans="3:12">
      <c r="C26" s="15"/>
      <c r="D26" s="12"/>
      <c r="E26" s="13" t="b">
        <v>0</v>
      </c>
      <c r="F26" s="13" t="b">
        <v>0</v>
      </c>
      <c r="G26" s="13" t="b">
        <v>0</v>
      </c>
      <c r="H26" s="13" t="b">
        <v>0</v>
      </c>
      <c r="I26" s="12"/>
      <c r="J26" s="12"/>
      <c r="K26" s="12"/>
      <c r="L26" s="16"/>
    </row>
    <row r="27" spans="3:12">
      <c r="C27" s="17"/>
      <c r="D27" s="18"/>
      <c r="E27" s="19" t="b">
        <v>0</v>
      </c>
      <c r="F27" s="19" t="b">
        <v>0</v>
      </c>
      <c r="G27" s="19" t="b">
        <v>0</v>
      </c>
      <c r="H27" s="19" t="b">
        <v>0</v>
      </c>
      <c r="I27" s="18"/>
      <c r="J27" s="18"/>
      <c r="K27" s="18"/>
      <c r="L27" s="20"/>
    </row>
  </sheetData>
  <mergeCells count="1">
    <mergeCell ref="B2:C2"/>
  </mergeCells>
  <conditionalFormatting sqref="C5:L27">
    <cfRule type="expression" dxfId="0" priority="1">
      <formula>MOD(ROW(),2)=1</formula>
    </cfRule>
  </conditionalFormatting>
  <hyperlinks>
    <hyperlink ref="B2:C2" location="MENU" display="MENU" xr:uid="{EE6026F8-6C07-4972-B0E5-3E7A805F5D6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79C5BE4158741ACEFCD744042C573" ma:contentTypeVersion="13" ma:contentTypeDescription="Create a new document." ma:contentTypeScope="" ma:versionID="fbe236a6eef0b4e4ff1a0b99b77f5f82">
  <xsd:schema xmlns:xsd="http://www.w3.org/2001/XMLSchema" xmlns:xs="http://www.w3.org/2001/XMLSchema" xmlns:p="http://schemas.microsoft.com/office/2006/metadata/properties" xmlns:ns2="e32965b7-e1d9-4918-a704-34155cce7d23" xmlns:ns3="35afc310-bf81-4dec-86be-b5a7e25be5c9" targetNamespace="http://schemas.microsoft.com/office/2006/metadata/properties" ma:root="true" ma:fieldsID="2bbd6bbced28fbf89ba1fbd0c8f3eb0e" ns2:_="" ns3:_="">
    <xsd:import namespace="e32965b7-e1d9-4918-a704-34155cce7d23"/>
    <xsd:import namespace="35afc310-bf81-4dec-86be-b5a7e25be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965b7-e1d9-4918-a704-34155cce7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ac1b13-23de-40a0-89ae-2fbf5056a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fc310-bf81-4dec-86be-b5a7e25be5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0d3066-16f8-4b66-92df-53399fc6184f}" ma:internalName="TaxCatchAll" ma:showField="CatchAllData" ma:web="35afc310-bf81-4dec-86be-b5a7e25be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afc310-bf81-4dec-86be-b5a7e25be5c9" xsi:nil="true"/>
    <lcf76f155ced4ddcb4097134ff3c332f xmlns="e32965b7-e1d9-4918-a704-34155cce7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7B216-254E-4042-885D-1B1B8E303D5E}"/>
</file>

<file path=customXml/itemProps2.xml><?xml version="1.0" encoding="utf-8"?>
<ds:datastoreItem xmlns:ds="http://schemas.openxmlformats.org/officeDocument/2006/customXml" ds:itemID="{010A16F3-B4B2-480C-9519-E1FF41D028C8}"/>
</file>

<file path=customXml/itemProps3.xml><?xml version="1.0" encoding="utf-8"?>
<ds:datastoreItem xmlns:ds="http://schemas.openxmlformats.org/officeDocument/2006/customXml" ds:itemID="{4BEDF612-3F55-4E3B-8DFD-0F601BEE6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Bellouk, Akram (RSIGH)</cp:lastModifiedBy>
  <cp:revision/>
  <dcterms:created xsi:type="dcterms:W3CDTF">2026-02-11T10:48:56Z</dcterms:created>
  <dcterms:modified xsi:type="dcterms:W3CDTF">2026-06-29T12:59:52Z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0x010100E6F79C5BE4158741ACEFCD744042C573</vt:lpwstr>
  </property>
  <property fmtid="{D5CDD505-2E9C-101B-9397-08002B2CF9AE}" pid="3" name="MediaServiceImageTags">
    <vt:lpwstr/>
  </property>
</Properties>
</file>